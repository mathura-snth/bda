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aouzi\Desktop\2026-2027-Cours-BDADWH-M2EID2-Prof\Cours-2025-03-13\"/>
    </mc:Choice>
  </mc:AlternateContent>
  <xr:revisionPtr revIDLastSave="0" documentId="13_ncr:1_{9D2B7428-EFDC-462C-AEB8-2F51018526A9}" xr6:coauthVersionLast="47" xr6:coauthVersionMax="47" xr10:uidLastSave="{00000000-0000-0000-0000-000000000000}"/>
  <bookViews>
    <workbookView xWindow="-110" yWindow="-110" windowWidth="19420" windowHeight="10300" xr2:uid="{8A1BB2A8-41BF-479E-97EA-078D59082C21}"/>
  </bookViews>
  <sheets>
    <sheet name="BD-TABsAintégrer" sheetId="7" r:id="rId1"/>
    <sheet name="BD-DWH" sheetId="8" r:id="rId2"/>
    <sheet name="BD-DWH (2)" sheetId="15" r:id="rId3"/>
    <sheet name="BD-DWH (3)" sheetId="16" r:id="rId4"/>
    <sheet name="Stats_J" sheetId="17" r:id="rId5"/>
    <sheet name="EclaterColonne" sheetId="9" r:id="rId6"/>
    <sheet name="Tab1_Joueurs" sheetId="1" r:id="rId7"/>
    <sheet name="Tab2_Goalkeeper" sheetId="5" r:id="rId8"/>
    <sheet name="Tab3_TOP10_JoueursFoot" sheetId="3" r:id="rId9"/>
    <sheet name="Tab4_BlessuresJoueurs" sheetId="4" r:id="rId10"/>
    <sheet name="Tab5_JoueusesFoot" sheetId="6" r:id="rId11"/>
    <sheet name="PaysCountry" sheetId="2" r:id="rId12"/>
    <sheet name="PostePosition" sheetId="12" r:id="rId13"/>
  </sheets>
  <definedNames>
    <definedName name="_xlnm._FilterDatabase" localSheetId="6" hidden="1">Tab1_Joueurs!$A$1:$F$157</definedName>
    <definedName name="_xlnm._FilterDatabase" localSheetId="7" hidden="1">Tab2_Goalkeeper!$A$1:$E$157</definedName>
    <definedName name="PostePosition">PostePosition!$B$20:$C$42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2" l="1"/>
  <c r="F4" i="12"/>
  <c r="F5" i="12"/>
  <c r="F6" i="12"/>
  <c r="F7" i="12"/>
  <c r="F8" i="12"/>
  <c r="F9" i="12"/>
  <c r="F10" i="12"/>
  <c r="F11" i="12"/>
  <c r="F12" i="12"/>
  <c r="F2" i="1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" i="16"/>
  <c r="E107" i="15"/>
  <c r="D107" i="15"/>
  <c r="E179" i="15"/>
  <c r="D179" i="15"/>
  <c r="E160" i="15"/>
  <c r="D160" i="15"/>
  <c r="E136" i="15"/>
  <c r="D136" i="15"/>
  <c r="E255" i="15"/>
  <c r="D255" i="15"/>
  <c r="E224" i="15"/>
  <c r="D224" i="15"/>
  <c r="E228" i="15"/>
  <c r="D228" i="15"/>
  <c r="E164" i="15"/>
  <c r="D164" i="15"/>
  <c r="E275" i="15"/>
  <c r="D275" i="15"/>
  <c r="E23" i="15"/>
  <c r="D23" i="15"/>
  <c r="E74" i="15"/>
  <c r="D74" i="15"/>
  <c r="E25" i="15"/>
  <c r="D25" i="15"/>
  <c r="E231" i="15"/>
  <c r="D231" i="15"/>
  <c r="E99" i="15"/>
  <c r="D99" i="15"/>
  <c r="E158" i="15"/>
  <c r="D158" i="15"/>
  <c r="E35" i="15"/>
  <c r="D35" i="15"/>
  <c r="E94" i="15"/>
  <c r="D94" i="15"/>
  <c r="E250" i="15"/>
  <c r="D250" i="15"/>
  <c r="E39" i="15"/>
  <c r="D39" i="15"/>
  <c r="E81" i="15"/>
  <c r="D81" i="15"/>
  <c r="E263" i="15"/>
  <c r="D263" i="15"/>
  <c r="E103" i="15"/>
  <c r="D103" i="15"/>
  <c r="E27" i="15"/>
  <c r="D27" i="15"/>
  <c r="E33" i="15"/>
  <c r="D33" i="15"/>
  <c r="E142" i="15"/>
  <c r="D142" i="15"/>
  <c r="E122" i="15"/>
  <c r="D122" i="15"/>
  <c r="E47" i="15"/>
  <c r="D47" i="15"/>
  <c r="E12" i="15"/>
  <c r="D12" i="15"/>
  <c r="E138" i="15"/>
  <c r="D138" i="15"/>
  <c r="E166" i="15"/>
  <c r="D166" i="15"/>
  <c r="E41" i="15"/>
  <c r="D41" i="15"/>
  <c r="E120" i="15"/>
  <c r="D120" i="15"/>
  <c r="E72" i="15"/>
  <c r="D72" i="15"/>
  <c r="E18" i="15"/>
  <c r="D18" i="15"/>
  <c r="E259" i="15"/>
  <c r="D259" i="15"/>
  <c r="E106" i="15"/>
  <c r="D106" i="15"/>
  <c r="E178" i="15"/>
  <c r="D178" i="15"/>
  <c r="E159" i="15"/>
  <c r="D159" i="15"/>
  <c r="E135" i="15"/>
  <c r="D135" i="15"/>
  <c r="E254" i="15"/>
  <c r="D254" i="15"/>
  <c r="E223" i="15"/>
  <c r="D223" i="15"/>
  <c r="E227" i="15"/>
  <c r="D227" i="15"/>
  <c r="E163" i="15"/>
  <c r="D163" i="15"/>
  <c r="E274" i="15"/>
  <c r="D274" i="15"/>
  <c r="E22" i="15"/>
  <c r="D22" i="15"/>
  <c r="E73" i="15"/>
  <c r="D73" i="15"/>
  <c r="E24" i="15"/>
  <c r="D24" i="15"/>
  <c r="E230" i="15"/>
  <c r="D230" i="15"/>
  <c r="E98" i="15"/>
  <c r="D98" i="15"/>
  <c r="E157" i="15"/>
  <c r="D157" i="15"/>
  <c r="E34" i="15"/>
  <c r="D34" i="15"/>
  <c r="E93" i="15"/>
  <c r="D93" i="15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2" i="6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2" i="4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" i="3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" i="5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3" i="1"/>
  <c r="D43" i="8"/>
  <c r="E43" i="8"/>
  <c r="D44" i="8"/>
  <c r="E44" i="8"/>
  <c r="D45" i="8"/>
  <c r="E45" i="8"/>
  <c r="D46" i="8"/>
  <c r="E46" i="8"/>
  <c r="D47" i="8"/>
  <c r="E47" i="8"/>
  <c r="D48" i="8"/>
  <c r="E48" i="8"/>
  <c r="D49" i="8"/>
  <c r="E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8" i="8"/>
  <c r="D59" i="8"/>
  <c r="E59" i="8"/>
  <c r="D60" i="8"/>
  <c r="E60" i="8"/>
  <c r="D61" i="8"/>
  <c r="E61" i="8"/>
  <c r="D62" i="8"/>
  <c r="E62" i="8"/>
  <c r="D63" i="8"/>
  <c r="E63" i="8"/>
  <c r="D64" i="8"/>
  <c r="E64" i="8"/>
  <c r="D65" i="8"/>
  <c r="E65" i="8"/>
  <c r="D66" i="8"/>
  <c r="E66" i="8"/>
  <c r="D67" i="8"/>
  <c r="E67" i="8"/>
  <c r="D68" i="8"/>
  <c r="E68" i="8"/>
  <c r="D69" i="8"/>
  <c r="E69" i="8"/>
  <c r="D70" i="8"/>
  <c r="E70" i="8"/>
  <c r="D71" i="8"/>
  <c r="E71" i="8"/>
  <c r="D72" i="8"/>
  <c r="E72" i="8"/>
  <c r="D73" i="8"/>
  <c r="E73" i="8"/>
  <c r="D74" i="8"/>
  <c r="E74" i="8"/>
  <c r="D75" i="8"/>
  <c r="E75" i="8"/>
  <c r="D76" i="8"/>
  <c r="E76" i="8"/>
  <c r="D77" i="8"/>
  <c r="E77" i="8"/>
  <c r="D78" i="8"/>
  <c r="E78" i="8"/>
  <c r="D79" i="8"/>
  <c r="E79" i="8"/>
  <c r="D80" i="8"/>
  <c r="E80" i="8"/>
  <c r="D81" i="8"/>
  <c r="E81" i="8"/>
  <c r="D82" i="8"/>
  <c r="E82" i="8"/>
  <c r="D83" i="8"/>
  <c r="E83" i="8"/>
  <c r="D84" i="8"/>
  <c r="E84" i="8"/>
  <c r="D85" i="8"/>
  <c r="E85" i="8"/>
  <c r="D86" i="8"/>
  <c r="E86" i="8"/>
  <c r="D87" i="8"/>
  <c r="E87" i="8"/>
  <c r="D88" i="8"/>
  <c r="E88" i="8"/>
  <c r="D89" i="8"/>
  <c r="E89" i="8"/>
  <c r="D90" i="8"/>
  <c r="E90" i="8"/>
  <c r="D91" i="8"/>
  <c r="E91" i="8"/>
  <c r="D92" i="8"/>
  <c r="E92" i="8"/>
  <c r="D93" i="8"/>
  <c r="E93" i="8"/>
  <c r="E42" i="8"/>
  <c r="D42" i="8"/>
  <c r="L3" i="9"/>
  <c r="M3" i="9"/>
  <c r="L4" i="9"/>
  <c r="M4" i="9"/>
  <c r="L5" i="9"/>
  <c r="M5" i="9"/>
  <c r="L6" i="9"/>
  <c r="M6" i="9"/>
  <c r="L7" i="9"/>
  <c r="M7" i="9"/>
  <c r="L8" i="9"/>
  <c r="M8" i="9"/>
  <c r="L9" i="9"/>
  <c r="M9" i="9"/>
  <c r="L10" i="9"/>
  <c r="M10" i="9"/>
  <c r="L11" i="9"/>
  <c r="M11" i="9"/>
  <c r="L12" i="9"/>
  <c r="M12" i="9"/>
  <c r="L13" i="9"/>
  <c r="M13" i="9"/>
  <c r="L14" i="9"/>
  <c r="M14" i="9"/>
  <c r="L15" i="9"/>
  <c r="M15" i="9"/>
  <c r="L16" i="9"/>
  <c r="M16" i="9"/>
  <c r="L17" i="9"/>
  <c r="M17" i="9"/>
  <c r="L18" i="9"/>
  <c r="M18" i="9"/>
  <c r="L19" i="9"/>
  <c r="M19" i="9"/>
  <c r="L20" i="9"/>
  <c r="M20" i="9"/>
  <c r="L21" i="9"/>
  <c r="M21" i="9"/>
  <c r="L22" i="9"/>
  <c r="M22" i="9"/>
  <c r="L23" i="9"/>
  <c r="M23" i="9"/>
  <c r="L24" i="9"/>
  <c r="M24" i="9"/>
  <c r="L25" i="9"/>
  <c r="M25" i="9"/>
  <c r="L26" i="9"/>
  <c r="M26" i="9"/>
  <c r="L27" i="9"/>
  <c r="M27" i="9"/>
  <c r="L28" i="9"/>
  <c r="M28" i="9"/>
  <c r="L29" i="9"/>
  <c r="M29" i="9"/>
  <c r="L30" i="9"/>
  <c r="M30" i="9"/>
  <c r="L31" i="9"/>
  <c r="M31" i="9"/>
  <c r="M2" i="9"/>
  <c r="L2" i="9"/>
  <c r="Y157" i="5"/>
  <c r="X157" i="5"/>
  <c r="W157" i="5"/>
  <c r="V157" i="5"/>
  <c r="U157" i="5"/>
  <c r="T157" i="5"/>
  <c r="Y156" i="5"/>
  <c r="X156" i="5"/>
  <c r="W156" i="5"/>
  <c r="V156" i="5"/>
  <c r="U156" i="5"/>
  <c r="T156" i="5"/>
  <c r="Y155" i="5"/>
  <c r="X155" i="5"/>
  <c r="W155" i="5"/>
  <c r="V155" i="5"/>
  <c r="U155" i="5"/>
  <c r="T155" i="5"/>
  <c r="Y154" i="5"/>
  <c r="X154" i="5"/>
  <c r="W154" i="5"/>
  <c r="V154" i="5"/>
  <c r="U154" i="5"/>
  <c r="T154" i="5"/>
  <c r="Y153" i="5"/>
  <c r="X153" i="5"/>
  <c r="W153" i="5"/>
  <c r="V153" i="5"/>
  <c r="U153" i="5"/>
  <c r="T153" i="5"/>
  <c r="Y152" i="5"/>
  <c r="X152" i="5"/>
  <c r="W152" i="5"/>
  <c r="V152" i="5"/>
  <c r="U152" i="5"/>
  <c r="T152" i="5"/>
  <c r="Y151" i="5"/>
  <c r="X151" i="5"/>
  <c r="W151" i="5"/>
  <c r="V151" i="5"/>
  <c r="U151" i="5"/>
  <c r="T151" i="5"/>
  <c r="Y150" i="5"/>
  <c r="X150" i="5"/>
  <c r="W150" i="5"/>
  <c r="V150" i="5"/>
  <c r="U150" i="5"/>
  <c r="T150" i="5"/>
  <c r="Y149" i="5"/>
  <c r="X149" i="5"/>
  <c r="W149" i="5"/>
  <c r="V149" i="5"/>
  <c r="U149" i="5"/>
  <c r="T149" i="5"/>
  <c r="Y148" i="5"/>
  <c r="X148" i="5"/>
  <c r="W148" i="5"/>
  <c r="V148" i="5"/>
  <c r="U148" i="5"/>
  <c r="T148" i="5"/>
  <c r="Y147" i="5"/>
  <c r="X147" i="5"/>
  <c r="W147" i="5"/>
  <c r="V147" i="5"/>
  <c r="U147" i="5"/>
  <c r="T147" i="5"/>
  <c r="Y146" i="5"/>
  <c r="X146" i="5"/>
  <c r="W146" i="5"/>
  <c r="V146" i="5"/>
  <c r="U146" i="5"/>
  <c r="T146" i="5"/>
  <c r="Y145" i="5"/>
  <c r="X145" i="5"/>
  <c r="W145" i="5"/>
  <c r="V145" i="5"/>
  <c r="U145" i="5"/>
  <c r="T145" i="5"/>
  <c r="Y144" i="5"/>
  <c r="X144" i="5"/>
  <c r="W144" i="5"/>
  <c r="V144" i="5"/>
  <c r="U144" i="5"/>
  <c r="T144" i="5"/>
  <c r="Y143" i="5"/>
  <c r="X143" i="5"/>
  <c r="W143" i="5"/>
  <c r="V143" i="5"/>
  <c r="U143" i="5"/>
  <c r="T143" i="5"/>
  <c r="Y142" i="5"/>
  <c r="X142" i="5"/>
  <c r="W142" i="5"/>
  <c r="V142" i="5"/>
  <c r="U142" i="5"/>
  <c r="T142" i="5"/>
  <c r="Y141" i="5"/>
  <c r="X141" i="5"/>
  <c r="W141" i="5"/>
  <c r="V141" i="5"/>
  <c r="U141" i="5"/>
  <c r="T141" i="5"/>
  <c r="Y140" i="5"/>
  <c r="X140" i="5"/>
  <c r="W140" i="5"/>
  <c r="V140" i="5"/>
  <c r="U140" i="5"/>
  <c r="T140" i="5"/>
  <c r="Y139" i="5"/>
  <c r="X139" i="5"/>
  <c r="W139" i="5"/>
  <c r="V139" i="5"/>
  <c r="U139" i="5"/>
  <c r="T139" i="5"/>
  <c r="Y138" i="5"/>
  <c r="X138" i="5"/>
  <c r="W138" i="5"/>
  <c r="V138" i="5"/>
  <c r="U138" i="5"/>
  <c r="T138" i="5"/>
  <c r="Y137" i="5"/>
  <c r="X137" i="5"/>
  <c r="W137" i="5"/>
  <c r="V137" i="5"/>
  <c r="U137" i="5"/>
  <c r="T137" i="5"/>
  <c r="Y136" i="5"/>
  <c r="X136" i="5"/>
  <c r="W136" i="5"/>
  <c r="V136" i="5"/>
  <c r="U136" i="5"/>
  <c r="T136" i="5"/>
  <c r="Y135" i="5"/>
  <c r="X135" i="5"/>
  <c r="W135" i="5"/>
  <c r="V135" i="5"/>
  <c r="U135" i="5"/>
  <c r="T135" i="5"/>
  <c r="Y134" i="5"/>
  <c r="X134" i="5"/>
  <c r="W134" i="5"/>
  <c r="V134" i="5"/>
  <c r="U134" i="5"/>
  <c r="T134" i="5"/>
  <c r="Y133" i="5"/>
  <c r="X133" i="5"/>
  <c r="W133" i="5"/>
  <c r="V133" i="5"/>
  <c r="U133" i="5"/>
  <c r="T133" i="5"/>
  <c r="Y132" i="5"/>
  <c r="X132" i="5"/>
  <c r="W132" i="5"/>
  <c r="V132" i="5"/>
  <c r="U132" i="5"/>
  <c r="T132" i="5"/>
  <c r="Y131" i="5"/>
  <c r="X131" i="5"/>
  <c r="W131" i="5"/>
  <c r="V131" i="5"/>
  <c r="U131" i="5"/>
  <c r="T131" i="5"/>
  <c r="Y130" i="5"/>
  <c r="X130" i="5"/>
  <c r="W130" i="5"/>
  <c r="V130" i="5"/>
  <c r="U130" i="5"/>
  <c r="T130" i="5"/>
  <c r="Y129" i="5"/>
  <c r="X129" i="5"/>
  <c r="W129" i="5"/>
  <c r="V129" i="5"/>
  <c r="U129" i="5"/>
  <c r="T129" i="5"/>
  <c r="Y128" i="5"/>
  <c r="X128" i="5"/>
  <c r="W128" i="5"/>
  <c r="V128" i="5"/>
  <c r="U128" i="5"/>
  <c r="T128" i="5"/>
  <c r="Y127" i="5"/>
  <c r="X127" i="5"/>
  <c r="W127" i="5"/>
  <c r="V127" i="5"/>
  <c r="U127" i="5"/>
  <c r="T127" i="5"/>
  <c r="Y126" i="5"/>
  <c r="X126" i="5"/>
  <c r="W126" i="5"/>
  <c r="V126" i="5"/>
  <c r="U126" i="5"/>
  <c r="T126" i="5"/>
  <c r="Y125" i="5"/>
  <c r="X125" i="5"/>
  <c r="W125" i="5"/>
  <c r="V125" i="5"/>
  <c r="U125" i="5"/>
  <c r="T125" i="5"/>
  <c r="Y124" i="5"/>
  <c r="X124" i="5"/>
  <c r="W124" i="5"/>
  <c r="V124" i="5"/>
  <c r="U124" i="5"/>
  <c r="T124" i="5"/>
  <c r="Y123" i="5"/>
  <c r="X123" i="5"/>
  <c r="W123" i="5"/>
  <c r="V123" i="5"/>
  <c r="U123" i="5"/>
  <c r="T123" i="5"/>
  <c r="Y122" i="5"/>
  <c r="X122" i="5"/>
  <c r="W122" i="5"/>
  <c r="V122" i="5"/>
  <c r="U122" i="5"/>
  <c r="T122" i="5"/>
  <c r="Y121" i="5"/>
  <c r="X121" i="5"/>
  <c r="W121" i="5"/>
  <c r="V121" i="5"/>
  <c r="U121" i="5"/>
  <c r="T121" i="5"/>
  <c r="Y120" i="5"/>
  <c r="X120" i="5"/>
  <c r="W120" i="5"/>
  <c r="V120" i="5"/>
  <c r="U120" i="5"/>
  <c r="T120" i="5"/>
  <c r="Y119" i="5"/>
  <c r="X119" i="5"/>
  <c r="W119" i="5"/>
  <c r="V119" i="5"/>
  <c r="U119" i="5"/>
  <c r="T119" i="5"/>
  <c r="Y118" i="5"/>
  <c r="X118" i="5"/>
  <c r="W118" i="5"/>
  <c r="V118" i="5"/>
  <c r="U118" i="5"/>
  <c r="T118" i="5"/>
  <c r="Y117" i="5"/>
  <c r="X117" i="5"/>
  <c r="W117" i="5"/>
  <c r="V117" i="5"/>
  <c r="U117" i="5"/>
  <c r="T117" i="5"/>
  <c r="Y116" i="5"/>
  <c r="X116" i="5"/>
  <c r="W116" i="5"/>
  <c r="V116" i="5"/>
  <c r="U116" i="5"/>
  <c r="T116" i="5"/>
  <c r="Y115" i="5"/>
  <c r="X115" i="5"/>
  <c r="W115" i="5"/>
  <c r="V115" i="5"/>
  <c r="U115" i="5"/>
  <c r="T115" i="5"/>
  <c r="Y114" i="5"/>
  <c r="X114" i="5"/>
  <c r="W114" i="5"/>
  <c r="V114" i="5"/>
  <c r="U114" i="5"/>
  <c r="T114" i="5"/>
  <c r="Y113" i="5"/>
  <c r="X113" i="5"/>
  <c r="W113" i="5"/>
  <c r="V113" i="5"/>
  <c r="U113" i="5"/>
  <c r="T113" i="5"/>
  <c r="Y112" i="5"/>
  <c r="X112" i="5"/>
  <c r="W112" i="5"/>
  <c r="V112" i="5"/>
  <c r="U112" i="5"/>
  <c r="T112" i="5"/>
  <c r="Y111" i="5"/>
  <c r="X111" i="5"/>
  <c r="W111" i="5"/>
  <c r="V111" i="5"/>
  <c r="U111" i="5"/>
  <c r="T111" i="5"/>
  <c r="Y110" i="5"/>
  <c r="X110" i="5"/>
  <c r="W110" i="5"/>
  <c r="V110" i="5"/>
  <c r="U110" i="5"/>
  <c r="T110" i="5"/>
  <c r="Y109" i="5"/>
  <c r="X109" i="5"/>
  <c r="W109" i="5"/>
  <c r="V109" i="5"/>
  <c r="U109" i="5"/>
  <c r="T109" i="5"/>
  <c r="Y108" i="5"/>
  <c r="X108" i="5"/>
  <c r="W108" i="5"/>
  <c r="V108" i="5"/>
  <c r="U108" i="5"/>
  <c r="T108" i="5"/>
  <c r="Y107" i="5"/>
  <c r="X107" i="5"/>
  <c r="W107" i="5"/>
  <c r="V107" i="5"/>
  <c r="U107" i="5"/>
  <c r="T107" i="5"/>
  <c r="Y106" i="5"/>
  <c r="X106" i="5"/>
  <c r="W106" i="5"/>
  <c r="V106" i="5"/>
  <c r="U106" i="5"/>
  <c r="T106" i="5"/>
  <c r="Y105" i="5"/>
  <c r="X105" i="5"/>
  <c r="W105" i="5"/>
  <c r="V105" i="5"/>
  <c r="U105" i="5"/>
  <c r="T105" i="5"/>
  <c r="Y104" i="5"/>
  <c r="X104" i="5"/>
  <c r="W104" i="5"/>
  <c r="V104" i="5"/>
  <c r="U104" i="5"/>
  <c r="T104" i="5"/>
  <c r="Y103" i="5"/>
  <c r="X103" i="5"/>
  <c r="W103" i="5"/>
  <c r="V103" i="5"/>
  <c r="U103" i="5"/>
  <c r="T103" i="5"/>
  <c r="Y102" i="5"/>
  <c r="X102" i="5"/>
  <c r="W102" i="5"/>
  <c r="V102" i="5"/>
  <c r="U102" i="5"/>
  <c r="T102" i="5"/>
  <c r="Y101" i="5"/>
  <c r="X101" i="5"/>
  <c r="W101" i="5"/>
  <c r="V101" i="5"/>
  <c r="U101" i="5"/>
  <c r="T101" i="5"/>
  <c r="Y100" i="5"/>
  <c r="X100" i="5"/>
  <c r="W100" i="5"/>
  <c r="V100" i="5"/>
  <c r="U100" i="5"/>
  <c r="T100" i="5"/>
  <c r="Y99" i="5"/>
  <c r="X99" i="5"/>
  <c r="W99" i="5"/>
  <c r="V99" i="5"/>
  <c r="U99" i="5"/>
  <c r="T99" i="5"/>
  <c r="Y98" i="5"/>
  <c r="X98" i="5"/>
  <c r="W98" i="5"/>
  <c r="V98" i="5"/>
  <c r="U98" i="5"/>
  <c r="T98" i="5"/>
  <c r="Y97" i="5"/>
  <c r="X97" i="5"/>
  <c r="W97" i="5"/>
  <c r="V97" i="5"/>
  <c r="U97" i="5"/>
  <c r="T97" i="5"/>
  <c r="Y96" i="5"/>
  <c r="X96" i="5"/>
  <c r="W96" i="5"/>
  <c r="V96" i="5"/>
  <c r="U96" i="5"/>
  <c r="T96" i="5"/>
  <c r="Y95" i="5"/>
  <c r="X95" i="5"/>
  <c r="W95" i="5"/>
  <c r="V95" i="5"/>
  <c r="U95" i="5"/>
  <c r="T95" i="5"/>
  <c r="Y94" i="5"/>
  <c r="X94" i="5"/>
  <c r="W94" i="5"/>
  <c r="V94" i="5"/>
  <c r="U94" i="5"/>
  <c r="T94" i="5"/>
  <c r="Y93" i="5"/>
  <c r="X93" i="5"/>
  <c r="W93" i="5"/>
  <c r="V93" i="5"/>
  <c r="U93" i="5"/>
  <c r="T93" i="5"/>
  <c r="Y92" i="5"/>
  <c r="X92" i="5"/>
  <c r="W92" i="5"/>
  <c r="V92" i="5"/>
  <c r="U92" i="5"/>
  <c r="T92" i="5"/>
  <c r="Y91" i="5"/>
  <c r="X91" i="5"/>
  <c r="W91" i="5"/>
  <c r="V91" i="5"/>
  <c r="U91" i="5"/>
  <c r="T91" i="5"/>
  <c r="Y90" i="5"/>
  <c r="X90" i="5"/>
  <c r="W90" i="5"/>
  <c r="V90" i="5"/>
  <c r="U90" i="5"/>
  <c r="T90" i="5"/>
  <c r="Y89" i="5"/>
  <c r="X89" i="5"/>
  <c r="W89" i="5"/>
  <c r="V89" i="5"/>
  <c r="U89" i="5"/>
  <c r="T89" i="5"/>
  <c r="Y88" i="5"/>
  <c r="X88" i="5"/>
  <c r="W88" i="5"/>
  <c r="V88" i="5"/>
  <c r="U88" i="5"/>
  <c r="T88" i="5"/>
  <c r="Y87" i="5"/>
  <c r="X87" i="5"/>
  <c r="W87" i="5"/>
  <c r="V87" i="5"/>
  <c r="U87" i="5"/>
  <c r="T87" i="5"/>
  <c r="Y86" i="5"/>
  <c r="X86" i="5"/>
  <c r="W86" i="5"/>
  <c r="V86" i="5"/>
  <c r="U86" i="5"/>
  <c r="T86" i="5"/>
  <c r="Y85" i="5"/>
  <c r="X85" i="5"/>
  <c r="W85" i="5"/>
  <c r="V85" i="5"/>
  <c r="U85" i="5"/>
  <c r="T85" i="5"/>
  <c r="Y84" i="5"/>
  <c r="X84" i="5"/>
  <c r="W84" i="5"/>
  <c r="V84" i="5"/>
  <c r="U84" i="5"/>
  <c r="T84" i="5"/>
  <c r="Y83" i="5"/>
  <c r="X83" i="5"/>
  <c r="W83" i="5"/>
  <c r="V83" i="5"/>
  <c r="U83" i="5"/>
  <c r="T83" i="5"/>
  <c r="Y82" i="5"/>
  <c r="X82" i="5"/>
  <c r="W82" i="5"/>
  <c r="V82" i="5"/>
  <c r="U82" i="5"/>
  <c r="T82" i="5"/>
  <c r="Y81" i="5"/>
  <c r="X81" i="5"/>
  <c r="W81" i="5"/>
  <c r="V81" i="5"/>
  <c r="U81" i="5"/>
  <c r="T81" i="5"/>
  <c r="Y80" i="5"/>
  <c r="X80" i="5"/>
  <c r="W80" i="5"/>
  <c r="V80" i="5"/>
  <c r="U80" i="5"/>
  <c r="T80" i="5"/>
  <c r="Y79" i="5"/>
  <c r="X79" i="5"/>
  <c r="W79" i="5"/>
  <c r="V79" i="5"/>
  <c r="U79" i="5"/>
  <c r="T79" i="5"/>
  <c r="Y78" i="5"/>
  <c r="X78" i="5"/>
  <c r="W78" i="5"/>
  <c r="V78" i="5"/>
  <c r="U78" i="5"/>
  <c r="T78" i="5"/>
  <c r="Y77" i="5"/>
  <c r="X77" i="5"/>
  <c r="W77" i="5"/>
  <c r="V77" i="5"/>
  <c r="U77" i="5"/>
  <c r="T77" i="5"/>
  <c r="Y76" i="5"/>
  <c r="X76" i="5"/>
  <c r="W76" i="5"/>
  <c r="V76" i="5"/>
  <c r="U76" i="5"/>
  <c r="T76" i="5"/>
  <c r="Y75" i="5"/>
  <c r="X75" i="5"/>
  <c r="W75" i="5"/>
  <c r="V75" i="5"/>
  <c r="U75" i="5"/>
  <c r="T75" i="5"/>
  <c r="Y74" i="5"/>
  <c r="X74" i="5"/>
  <c r="W74" i="5"/>
  <c r="V74" i="5"/>
  <c r="U74" i="5"/>
  <c r="T74" i="5"/>
  <c r="Y73" i="5"/>
  <c r="X73" i="5"/>
  <c r="W73" i="5"/>
  <c r="V73" i="5"/>
  <c r="U73" i="5"/>
  <c r="T73" i="5"/>
  <c r="Y72" i="5"/>
  <c r="X72" i="5"/>
  <c r="W72" i="5"/>
  <c r="V72" i="5"/>
  <c r="U72" i="5"/>
  <c r="T72" i="5"/>
  <c r="Y71" i="5"/>
  <c r="X71" i="5"/>
  <c r="W71" i="5"/>
  <c r="V71" i="5"/>
  <c r="U71" i="5"/>
  <c r="T71" i="5"/>
  <c r="Y70" i="5"/>
  <c r="X70" i="5"/>
  <c r="W70" i="5"/>
  <c r="V70" i="5"/>
  <c r="U70" i="5"/>
  <c r="T70" i="5"/>
  <c r="Y69" i="5"/>
  <c r="X69" i="5"/>
  <c r="W69" i="5"/>
  <c r="V69" i="5"/>
  <c r="U69" i="5"/>
  <c r="T69" i="5"/>
  <c r="Y68" i="5"/>
  <c r="X68" i="5"/>
  <c r="W68" i="5"/>
  <c r="V68" i="5"/>
  <c r="U68" i="5"/>
  <c r="T68" i="5"/>
  <c r="Y67" i="5"/>
  <c r="X67" i="5"/>
  <c r="W67" i="5"/>
  <c r="V67" i="5"/>
  <c r="U67" i="5"/>
  <c r="T67" i="5"/>
  <c r="Y66" i="5"/>
  <c r="X66" i="5"/>
  <c r="W66" i="5"/>
  <c r="V66" i="5"/>
  <c r="U66" i="5"/>
  <c r="T66" i="5"/>
  <c r="Y65" i="5"/>
  <c r="X65" i="5"/>
  <c r="W65" i="5"/>
  <c r="V65" i="5"/>
  <c r="U65" i="5"/>
  <c r="T65" i="5"/>
  <c r="Y64" i="5"/>
  <c r="X64" i="5"/>
  <c r="W64" i="5"/>
  <c r="V64" i="5"/>
  <c r="U64" i="5"/>
  <c r="T64" i="5"/>
  <c r="Y63" i="5"/>
  <c r="X63" i="5"/>
  <c r="W63" i="5"/>
  <c r="V63" i="5"/>
  <c r="U63" i="5"/>
  <c r="T63" i="5"/>
  <c r="Y62" i="5"/>
  <c r="X62" i="5"/>
  <c r="W62" i="5"/>
  <c r="V62" i="5"/>
  <c r="U62" i="5"/>
  <c r="T62" i="5"/>
  <c r="Y61" i="5"/>
  <c r="X61" i="5"/>
  <c r="W61" i="5"/>
  <c r="V61" i="5"/>
  <c r="U61" i="5"/>
  <c r="T61" i="5"/>
  <c r="Y60" i="5"/>
  <c r="X60" i="5"/>
  <c r="W60" i="5"/>
  <c r="V60" i="5"/>
  <c r="U60" i="5"/>
  <c r="T60" i="5"/>
  <c r="Y59" i="5"/>
  <c r="X59" i="5"/>
  <c r="W59" i="5"/>
  <c r="V59" i="5"/>
  <c r="U59" i="5"/>
  <c r="T59" i="5"/>
  <c r="Y58" i="5"/>
  <c r="X58" i="5"/>
  <c r="W58" i="5"/>
  <c r="V58" i="5"/>
  <c r="U58" i="5"/>
  <c r="T58" i="5"/>
  <c r="Y57" i="5"/>
  <c r="X57" i="5"/>
  <c r="W57" i="5"/>
  <c r="V57" i="5"/>
  <c r="U57" i="5"/>
  <c r="T57" i="5"/>
  <c r="Y56" i="5"/>
  <c r="X56" i="5"/>
  <c r="W56" i="5"/>
  <c r="V56" i="5"/>
  <c r="U56" i="5"/>
  <c r="T56" i="5"/>
  <c r="Y55" i="5"/>
  <c r="X55" i="5"/>
  <c r="W55" i="5"/>
  <c r="V55" i="5"/>
  <c r="U55" i="5"/>
  <c r="T55" i="5"/>
  <c r="Y54" i="5"/>
  <c r="X54" i="5"/>
  <c r="W54" i="5"/>
  <c r="V54" i="5"/>
  <c r="U54" i="5"/>
  <c r="T54" i="5"/>
  <c r="Y53" i="5"/>
  <c r="X53" i="5"/>
  <c r="W53" i="5"/>
  <c r="V53" i="5"/>
  <c r="U53" i="5"/>
  <c r="T53" i="5"/>
  <c r="Y52" i="5"/>
  <c r="X52" i="5"/>
  <c r="W52" i="5"/>
  <c r="V52" i="5"/>
  <c r="U52" i="5"/>
  <c r="T52" i="5"/>
  <c r="Y51" i="5"/>
  <c r="X51" i="5"/>
  <c r="W51" i="5"/>
  <c r="V51" i="5"/>
  <c r="U51" i="5"/>
  <c r="T51" i="5"/>
  <c r="Y50" i="5"/>
  <c r="X50" i="5"/>
  <c r="W50" i="5"/>
  <c r="V50" i="5"/>
  <c r="U50" i="5"/>
  <c r="T50" i="5"/>
  <c r="Y49" i="5"/>
  <c r="X49" i="5"/>
  <c r="W49" i="5"/>
  <c r="V49" i="5"/>
  <c r="U49" i="5"/>
  <c r="T49" i="5"/>
  <c r="Y48" i="5"/>
  <c r="X48" i="5"/>
  <c r="W48" i="5"/>
  <c r="V48" i="5"/>
  <c r="U48" i="5"/>
  <c r="T48" i="5"/>
  <c r="Y47" i="5"/>
  <c r="X47" i="5"/>
  <c r="W47" i="5"/>
  <c r="V47" i="5"/>
  <c r="U47" i="5"/>
  <c r="T47" i="5"/>
  <c r="Y46" i="5"/>
  <c r="X46" i="5"/>
  <c r="W46" i="5"/>
  <c r="V46" i="5"/>
  <c r="U46" i="5"/>
  <c r="T46" i="5"/>
  <c r="Y45" i="5"/>
  <c r="X45" i="5"/>
  <c r="W45" i="5"/>
  <c r="V45" i="5"/>
  <c r="U45" i="5"/>
  <c r="T45" i="5"/>
  <c r="Y44" i="5"/>
  <c r="X44" i="5"/>
  <c r="W44" i="5"/>
  <c r="V44" i="5"/>
  <c r="U44" i="5"/>
  <c r="T44" i="5"/>
  <c r="Y43" i="5"/>
  <c r="X43" i="5"/>
  <c r="W43" i="5"/>
  <c r="V43" i="5"/>
  <c r="U43" i="5"/>
  <c r="T43" i="5"/>
  <c r="Y42" i="5"/>
  <c r="X42" i="5"/>
  <c r="W42" i="5"/>
  <c r="V42" i="5"/>
  <c r="U42" i="5"/>
  <c r="T42" i="5"/>
  <c r="Y41" i="5"/>
  <c r="X41" i="5"/>
  <c r="W41" i="5"/>
  <c r="V41" i="5"/>
  <c r="U41" i="5"/>
  <c r="T41" i="5"/>
  <c r="Y40" i="5"/>
  <c r="X40" i="5"/>
  <c r="W40" i="5"/>
  <c r="V40" i="5"/>
  <c r="U40" i="5"/>
  <c r="T40" i="5"/>
  <c r="Y39" i="5"/>
  <c r="X39" i="5"/>
  <c r="W39" i="5"/>
  <c r="V39" i="5"/>
  <c r="U39" i="5"/>
  <c r="T39" i="5"/>
  <c r="Y38" i="5"/>
  <c r="X38" i="5"/>
  <c r="W38" i="5"/>
  <c r="V38" i="5"/>
  <c r="U38" i="5"/>
  <c r="T38" i="5"/>
  <c r="Y37" i="5"/>
  <c r="X37" i="5"/>
  <c r="W37" i="5"/>
  <c r="V37" i="5"/>
  <c r="U37" i="5"/>
  <c r="T37" i="5"/>
  <c r="Y36" i="5"/>
  <c r="X36" i="5"/>
  <c r="W36" i="5"/>
  <c r="V36" i="5"/>
  <c r="U36" i="5"/>
  <c r="T36" i="5"/>
  <c r="Y35" i="5"/>
  <c r="X35" i="5"/>
  <c r="W35" i="5"/>
  <c r="V35" i="5"/>
  <c r="U35" i="5"/>
  <c r="T35" i="5"/>
  <c r="Y34" i="5"/>
  <c r="X34" i="5"/>
  <c r="W34" i="5"/>
  <c r="V34" i="5"/>
  <c r="U34" i="5"/>
  <c r="T34" i="5"/>
  <c r="Y33" i="5"/>
  <c r="X33" i="5"/>
  <c r="W33" i="5"/>
  <c r="V33" i="5"/>
  <c r="U33" i="5"/>
  <c r="T33" i="5"/>
  <c r="Y32" i="5"/>
  <c r="X32" i="5"/>
  <c r="W32" i="5"/>
  <c r="V32" i="5"/>
  <c r="U32" i="5"/>
  <c r="T32" i="5"/>
  <c r="Y31" i="5"/>
  <c r="X31" i="5"/>
  <c r="W31" i="5"/>
  <c r="V31" i="5"/>
  <c r="U31" i="5"/>
  <c r="T31" i="5"/>
  <c r="Y30" i="5"/>
  <c r="X30" i="5"/>
  <c r="W30" i="5"/>
  <c r="V30" i="5"/>
  <c r="U30" i="5"/>
  <c r="T30" i="5"/>
  <c r="Y29" i="5"/>
  <c r="X29" i="5"/>
  <c r="W29" i="5"/>
  <c r="V29" i="5"/>
  <c r="U29" i="5"/>
  <c r="T29" i="5"/>
  <c r="Y28" i="5"/>
  <c r="X28" i="5"/>
  <c r="W28" i="5"/>
  <c r="V28" i="5"/>
  <c r="U28" i="5"/>
  <c r="T28" i="5"/>
  <c r="Y27" i="5"/>
  <c r="X27" i="5"/>
  <c r="W27" i="5"/>
  <c r="V27" i="5"/>
  <c r="U27" i="5"/>
  <c r="T27" i="5"/>
  <c r="Y26" i="5"/>
  <c r="X26" i="5"/>
  <c r="W26" i="5"/>
  <c r="V26" i="5"/>
  <c r="U26" i="5"/>
  <c r="T26" i="5"/>
  <c r="Y25" i="5"/>
  <c r="X25" i="5"/>
  <c r="W25" i="5"/>
  <c r="V25" i="5"/>
  <c r="U25" i="5"/>
  <c r="T25" i="5"/>
  <c r="Y24" i="5"/>
  <c r="X24" i="5"/>
  <c r="W24" i="5"/>
  <c r="V24" i="5"/>
  <c r="U24" i="5"/>
  <c r="T24" i="5"/>
  <c r="Y23" i="5"/>
  <c r="X23" i="5"/>
  <c r="W23" i="5"/>
  <c r="V23" i="5"/>
  <c r="U23" i="5"/>
  <c r="T23" i="5"/>
  <c r="Y22" i="5"/>
  <c r="X22" i="5"/>
  <c r="W22" i="5"/>
  <c r="V22" i="5"/>
  <c r="U22" i="5"/>
  <c r="T22" i="5"/>
  <c r="Y21" i="5"/>
  <c r="X21" i="5"/>
  <c r="W21" i="5"/>
  <c r="V21" i="5"/>
  <c r="U21" i="5"/>
  <c r="T21" i="5"/>
  <c r="Y20" i="5"/>
  <c r="X20" i="5"/>
  <c r="W20" i="5"/>
  <c r="V20" i="5"/>
  <c r="U20" i="5"/>
  <c r="T20" i="5"/>
  <c r="Y19" i="5"/>
  <c r="X19" i="5"/>
  <c r="W19" i="5"/>
  <c r="V19" i="5"/>
  <c r="U19" i="5"/>
  <c r="T19" i="5"/>
  <c r="Y18" i="5"/>
  <c r="X18" i="5"/>
  <c r="W18" i="5"/>
  <c r="V18" i="5"/>
  <c r="U18" i="5"/>
  <c r="T18" i="5"/>
  <c r="Y17" i="5"/>
  <c r="X17" i="5"/>
  <c r="W17" i="5"/>
  <c r="V17" i="5"/>
  <c r="U17" i="5"/>
  <c r="T17" i="5"/>
  <c r="Y16" i="5"/>
  <c r="X16" i="5"/>
  <c r="W16" i="5"/>
  <c r="V16" i="5"/>
  <c r="U16" i="5"/>
  <c r="T16" i="5"/>
  <c r="Y15" i="5"/>
  <c r="X15" i="5"/>
  <c r="W15" i="5"/>
  <c r="V15" i="5"/>
  <c r="U15" i="5"/>
  <c r="T15" i="5"/>
  <c r="Y14" i="5"/>
  <c r="X14" i="5"/>
  <c r="W14" i="5"/>
  <c r="V14" i="5"/>
  <c r="U14" i="5"/>
  <c r="T14" i="5"/>
  <c r="Y13" i="5"/>
  <c r="X13" i="5"/>
  <c r="W13" i="5"/>
  <c r="V13" i="5"/>
  <c r="U13" i="5"/>
  <c r="T13" i="5"/>
  <c r="Y12" i="5"/>
  <c r="X12" i="5"/>
  <c r="W12" i="5"/>
  <c r="V12" i="5"/>
  <c r="U12" i="5"/>
  <c r="T12" i="5"/>
  <c r="Y11" i="5"/>
  <c r="X11" i="5"/>
  <c r="W11" i="5"/>
  <c r="V11" i="5"/>
  <c r="U11" i="5"/>
  <c r="T11" i="5"/>
  <c r="Y10" i="5"/>
  <c r="X10" i="5"/>
  <c r="W10" i="5"/>
  <c r="V10" i="5"/>
  <c r="U10" i="5"/>
  <c r="T10" i="5"/>
  <c r="Y9" i="5"/>
  <c r="X9" i="5"/>
  <c r="W9" i="5"/>
  <c r="V9" i="5"/>
  <c r="U9" i="5"/>
  <c r="T9" i="5"/>
  <c r="AE8" i="5"/>
  <c r="AD8" i="5"/>
  <c r="AC8" i="5"/>
  <c r="AB8" i="5"/>
  <c r="AA8" i="5"/>
  <c r="Y8" i="5"/>
  <c r="X8" i="5"/>
  <c r="W8" i="5"/>
  <c r="V8" i="5"/>
  <c r="U8" i="5"/>
  <c r="T8" i="5"/>
  <c r="Y7" i="5"/>
  <c r="X7" i="5"/>
  <c r="W7" i="5"/>
  <c r="V7" i="5"/>
  <c r="U7" i="5"/>
  <c r="T7" i="5"/>
  <c r="Z6" i="5"/>
  <c r="Y6" i="5"/>
  <c r="X6" i="5"/>
  <c r="W6" i="5"/>
  <c r="V6" i="5"/>
  <c r="U6" i="5"/>
  <c r="T6" i="5"/>
  <c r="Y5" i="5"/>
  <c r="X5" i="5"/>
  <c r="W5" i="5"/>
  <c r="V5" i="5"/>
  <c r="U5" i="5"/>
  <c r="T5" i="5"/>
  <c r="Z4" i="5"/>
  <c r="Y4" i="5"/>
  <c r="X4" i="5"/>
  <c r="W4" i="5"/>
  <c r="V4" i="5"/>
  <c r="U4" i="5"/>
  <c r="T4" i="5"/>
  <c r="Y3" i="5"/>
  <c r="X3" i="5"/>
  <c r="W3" i="5"/>
  <c r="V3" i="5"/>
  <c r="U3" i="5"/>
  <c r="T3" i="5"/>
  <c r="Z2" i="5"/>
  <c r="Y2" i="5"/>
  <c r="X2" i="5"/>
  <c r="W2" i="5"/>
  <c r="V2" i="5"/>
  <c r="U2" i="5"/>
  <c r="T2" i="5"/>
  <c r="AF8" i="1"/>
  <c r="AC8" i="1"/>
  <c r="AD8" i="1"/>
  <c r="AE8" i="1"/>
  <c r="AA8" i="1"/>
  <c r="AB8" i="1"/>
  <c r="Z6" i="1"/>
  <c r="Z4" i="1"/>
  <c r="Z2" i="1"/>
  <c r="T3" i="1"/>
  <c r="U3" i="1"/>
  <c r="V3" i="1"/>
  <c r="W3" i="1"/>
  <c r="X3" i="1"/>
  <c r="Y3" i="1"/>
  <c r="T4" i="1"/>
  <c r="U4" i="1"/>
  <c r="V4" i="1"/>
  <c r="W4" i="1"/>
  <c r="X4" i="1"/>
  <c r="Y4" i="1"/>
  <c r="T5" i="1"/>
  <c r="U5" i="1"/>
  <c r="V5" i="1"/>
  <c r="W5" i="1"/>
  <c r="X5" i="1"/>
  <c r="Y5" i="1"/>
  <c r="T6" i="1"/>
  <c r="U6" i="1"/>
  <c r="V6" i="1"/>
  <c r="W6" i="1"/>
  <c r="X6" i="1"/>
  <c r="Y6" i="1"/>
  <c r="T7" i="1"/>
  <c r="U7" i="1"/>
  <c r="V7" i="1"/>
  <c r="W7" i="1"/>
  <c r="X7" i="1"/>
  <c r="Y7" i="1"/>
  <c r="T8" i="1"/>
  <c r="U8" i="1"/>
  <c r="V8" i="1"/>
  <c r="W8" i="1"/>
  <c r="X8" i="1"/>
  <c r="Y8" i="1"/>
  <c r="T9" i="1"/>
  <c r="U9" i="1"/>
  <c r="V9" i="1"/>
  <c r="W9" i="1"/>
  <c r="X9" i="1"/>
  <c r="Y9" i="1"/>
  <c r="T10" i="1"/>
  <c r="U10" i="1"/>
  <c r="V10" i="1"/>
  <c r="W10" i="1"/>
  <c r="X10" i="1"/>
  <c r="Y10" i="1"/>
  <c r="T11" i="1"/>
  <c r="U11" i="1"/>
  <c r="V11" i="1"/>
  <c r="W11" i="1"/>
  <c r="X11" i="1"/>
  <c r="Y11" i="1"/>
  <c r="T12" i="1"/>
  <c r="U12" i="1"/>
  <c r="V12" i="1"/>
  <c r="W12" i="1"/>
  <c r="X12" i="1"/>
  <c r="Y12" i="1"/>
  <c r="T13" i="1"/>
  <c r="U13" i="1"/>
  <c r="V13" i="1"/>
  <c r="W13" i="1"/>
  <c r="X13" i="1"/>
  <c r="Y13" i="1"/>
  <c r="T14" i="1"/>
  <c r="U14" i="1"/>
  <c r="V14" i="1"/>
  <c r="W14" i="1"/>
  <c r="X14" i="1"/>
  <c r="Y14" i="1"/>
  <c r="T15" i="1"/>
  <c r="U15" i="1"/>
  <c r="V15" i="1"/>
  <c r="W15" i="1"/>
  <c r="X15" i="1"/>
  <c r="Y15" i="1"/>
  <c r="T16" i="1"/>
  <c r="U16" i="1"/>
  <c r="V16" i="1"/>
  <c r="W16" i="1"/>
  <c r="X16" i="1"/>
  <c r="Y16" i="1"/>
  <c r="T17" i="1"/>
  <c r="U17" i="1"/>
  <c r="V17" i="1"/>
  <c r="W17" i="1"/>
  <c r="X17" i="1"/>
  <c r="Y17" i="1"/>
  <c r="T18" i="1"/>
  <c r="U18" i="1"/>
  <c r="V18" i="1"/>
  <c r="W18" i="1"/>
  <c r="X18" i="1"/>
  <c r="Y18" i="1"/>
  <c r="T19" i="1"/>
  <c r="U19" i="1"/>
  <c r="V19" i="1"/>
  <c r="W19" i="1"/>
  <c r="X19" i="1"/>
  <c r="Y19" i="1"/>
  <c r="T20" i="1"/>
  <c r="U20" i="1"/>
  <c r="V20" i="1"/>
  <c r="W20" i="1"/>
  <c r="X20" i="1"/>
  <c r="Y20" i="1"/>
  <c r="T21" i="1"/>
  <c r="U21" i="1"/>
  <c r="V21" i="1"/>
  <c r="W21" i="1"/>
  <c r="X21" i="1"/>
  <c r="Y21" i="1"/>
  <c r="T22" i="1"/>
  <c r="U22" i="1"/>
  <c r="V22" i="1"/>
  <c r="W22" i="1"/>
  <c r="X22" i="1"/>
  <c r="Y22" i="1"/>
  <c r="T23" i="1"/>
  <c r="U23" i="1"/>
  <c r="V23" i="1"/>
  <c r="W23" i="1"/>
  <c r="X23" i="1"/>
  <c r="Y23" i="1"/>
  <c r="T24" i="1"/>
  <c r="U24" i="1"/>
  <c r="V24" i="1"/>
  <c r="W24" i="1"/>
  <c r="X24" i="1"/>
  <c r="Y24" i="1"/>
  <c r="T25" i="1"/>
  <c r="U25" i="1"/>
  <c r="V25" i="1"/>
  <c r="W25" i="1"/>
  <c r="X25" i="1"/>
  <c r="Y25" i="1"/>
  <c r="T26" i="1"/>
  <c r="U26" i="1"/>
  <c r="V26" i="1"/>
  <c r="W26" i="1"/>
  <c r="X26" i="1"/>
  <c r="Y26" i="1"/>
  <c r="T27" i="1"/>
  <c r="U27" i="1"/>
  <c r="V27" i="1"/>
  <c r="W27" i="1"/>
  <c r="X27" i="1"/>
  <c r="Y27" i="1"/>
  <c r="T28" i="1"/>
  <c r="U28" i="1"/>
  <c r="V28" i="1"/>
  <c r="W28" i="1"/>
  <c r="X28" i="1"/>
  <c r="Y28" i="1"/>
  <c r="T29" i="1"/>
  <c r="U29" i="1"/>
  <c r="V29" i="1"/>
  <c r="W29" i="1"/>
  <c r="X29" i="1"/>
  <c r="Y29" i="1"/>
  <c r="T30" i="1"/>
  <c r="U30" i="1"/>
  <c r="V30" i="1"/>
  <c r="W30" i="1"/>
  <c r="X30" i="1"/>
  <c r="Y30" i="1"/>
  <c r="T31" i="1"/>
  <c r="U31" i="1"/>
  <c r="V31" i="1"/>
  <c r="W31" i="1"/>
  <c r="X31" i="1"/>
  <c r="Y31" i="1"/>
  <c r="T32" i="1"/>
  <c r="U32" i="1"/>
  <c r="V32" i="1"/>
  <c r="W32" i="1"/>
  <c r="X32" i="1"/>
  <c r="Y32" i="1"/>
  <c r="T33" i="1"/>
  <c r="U33" i="1"/>
  <c r="V33" i="1"/>
  <c r="W33" i="1"/>
  <c r="X33" i="1"/>
  <c r="Y33" i="1"/>
  <c r="T34" i="1"/>
  <c r="U34" i="1"/>
  <c r="V34" i="1"/>
  <c r="W34" i="1"/>
  <c r="X34" i="1"/>
  <c r="Y34" i="1"/>
  <c r="T35" i="1"/>
  <c r="U35" i="1"/>
  <c r="V35" i="1"/>
  <c r="W35" i="1"/>
  <c r="X35" i="1"/>
  <c r="Y35" i="1"/>
  <c r="T36" i="1"/>
  <c r="U36" i="1"/>
  <c r="V36" i="1"/>
  <c r="W36" i="1"/>
  <c r="X36" i="1"/>
  <c r="Y36" i="1"/>
  <c r="T37" i="1"/>
  <c r="U37" i="1"/>
  <c r="V37" i="1"/>
  <c r="W37" i="1"/>
  <c r="X37" i="1"/>
  <c r="Y37" i="1"/>
  <c r="T38" i="1"/>
  <c r="U38" i="1"/>
  <c r="V38" i="1"/>
  <c r="W38" i="1"/>
  <c r="X38" i="1"/>
  <c r="Y38" i="1"/>
  <c r="T39" i="1"/>
  <c r="U39" i="1"/>
  <c r="V39" i="1"/>
  <c r="W39" i="1"/>
  <c r="X39" i="1"/>
  <c r="Y39" i="1"/>
  <c r="T40" i="1"/>
  <c r="U40" i="1"/>
  <c r="V40" i="1"/>
  <c r="W40" i="1"/>
  <c r="X40" i="1"/>
  <c r="Y40" i="1"/>
  <c r="T41" i="1"/>
  <c r="U41" i="1"/>
  <c r="V41" i="1"/>
  <c r="W41" i="1"/>
  <c r="X41" i="1"/>
  <c r="Y41" i="1"/>
  <c r="T42" i="1"/>
  <c r="U42" i="1"/>
  <c r="V42" i="1"/>
  <c r="W42" i="1"/>
  <c r="X42" i="1"/>
  <c r="Y42" i="1"/>
  <c r="T43" i="1"/>
  <c r="U43" i="1"/>
  <c r="V43" i="1"/>
  <c r="W43" i="1"/>
  <c r="X43" i="1"/>
  <c r="Y43" i="1"/>
  <c r="T44" i="1"/>
  <c r="U44" i="1"/>
  <c r="V44" i="1"/>
  <c r="W44" i="1"/>
  <c r="X44" i="1"/>
  <c r="Y44" i="1"/>
  <c r="T45" i="1"/>
  <c r="U45" i="1"/>
  <c r="V45" i="1"/>
  <c r="W45" i="1"/>
  <c r="X45" i="1"/>
  <c r="Y45" i="1"/>
  <c r="T46" i="1"/>
  <c r="U46" i="1"/>
  <c r="V46" i="1"/>
  <c r="W46" i="1"/>
  <c r="X46" i="1"/>
  <c r="Y46" i="1"/>
  <c r="T47" i="1"/>
  <c r="U47" i="1"/>
  <c r="V47" i="1"/>
  <c r="W47" i="1"/>
  <c r="X47" i="1"/>
  <c r="Y47" i="1"/>
  <c r="T48" i="1"/>
  <c r="U48" i="1"/>
  <c r="V48" i="1"/>
  <c r="W48" i="1"/>
  <c r="X48" i="1"/>
  <c r="Y48" i="1"/>
  <c r="T49" i="1"/>
  <c r="U49" i="1"/>
  <c r="V49" i="1"/>
  <c r="W49" i="1"/>
  <c r="X49" i="1"/>
  <c r="Y49" i="1"/>
  <c r="T50" i="1"/>
  <c r="U50" i="1"/>
  <c r="V50" i="1"/>
  <c r="W50" i="1"/>
  <c r="X50" i="1"/>
  <c r="Y50" i="1"/>
  <c r="T51" i="1"/>
  <c r="U51" i="1"/>
  <c r="V51" i="1"/>
  <c r="W51" i="1"/>
  <c r="X51" i="1"/>
  <c r="Y51" i="1"/>
  <c r="T52" i="1"/>
  <c r="U52" i="1"/>
  <c r="V52" i="1"/>
  <c r="W52" i="1"/>
  <c r="X52" i="1"/>
  <c r="Y52" i="1"/>
  <c r="T53" i="1"/>
  <c r="U53" i="1"/>
  <c r="V53" i="1"/>
  <c r="W53" i="1"/>
  <c r="X53" i="1"/>
  <c r="Y53" i="1"/>
  <c r="T54" i="1"/>
  <c r="U54" i="1"/>
  <c r="V54" i="1"/>
  <c r="W54" i="1"/>
  <c r="X54" i="1"/>
  <c r="Y54" i="1"/>
  <c r="T55" i="1"/>
  <c r="U55" i="1"/>
  <c r="V55" i="1"/>
  <c r="W55" i="1"/>
  <c r="X55" i="1"/>
  <c r="Y55" i="1"/>
  <c r="T56" i="1"/>
  <c r="U56" i="1"/>
  <c r="V56" i="1"/>
  <c r="W56" i="1"/>
  <c r="X56" i="1"/>
  <c r="Y56" i="1"/>
  <c r="T57" i="1"/>
  <c r="U57" i="1"/>
  <c r="V57" i="1"/>
  <c r="W57" i="1"/>
  <c r="X57" i="1"/>
  <c r="Y57" i="1"/>
  <c r="T58" i="1"/>
  <c r="U58" i="1"/>
  <c r="V58" i="1"/>
  <c r="W58" i="1"/>
  <c r="X58" i="1"/>
  <c r="Y58" i="1"/>
  <c r="T59" i="1"/>
  <c r="U59" i="1"/>
  <c r="V59" i="1"/>
  <c r="W59" i="1"/>
  <c r="X59" i="1"/>
  <c r="Y59" i="1"/>
  <c r="T60" i="1"/>
  <c r="U60" i="1"/>
  <c r="V60" i="1"/>
  <c r="W60" i="1"/>
  <c r="X60" i="1"/>
  <c r="Y60" i="1"/>
  <c r="T61" i="1"/>
  <c r="U61" i="1"/>
  <c r="V61" i="1"/>
  <c r="W61" i="1"/>
  <c r="X61" i="1"/>
  <c r="Y61" i="1"/>
  <c r="T62" i="1"/>
  <c r="U62" i="1"/>
  <c r="V62" i="1"/>
  <c r="W62" i="1"/>
  <c r="X62" i="1"/>
  <c r="Y62" i="1"/>
  <c r="T63" i="1"/>
  <c r="U63" i="1"/>
  <c r="V63" i="1"/>
  <c r="W63" i="1"/>
  <c r="X63" i="1"/>
  <c r="Y63" i="1"/>
  <c r="T64" i="1"/>
  <c r="U64" i="1"/>
  <c r="V64" i="1"/>
  <c r="W64" i="1"/>
  <c r="X64" i="1"/>
  <c r="Y64" i="1"/>
  <c r="T65" i="1"/>
  <c r="U65" i="1"/>
  <c r="V65" i="1"/>
  <c r="W65" i="1"/>
  <c r="X65" i="1"/>
  <c r="Y65" i="1"/>
  <c r="T66" i="1"/>
  <c r="U66" i="1"/>
  <c r="V66" i="1"/>
  <c r="W66" i="1"/>
  <c r="X66" i="1"/>
  <c r="Y66" i="1"/>
  <c r="T67" i="1"/>
  <c r="U67" i="1"/>
  <c r="V67" i="1"/>
  <c r="W67" i="1"/>
  <c r="X67" i="1"/>
  <c r="Y67" i="1"/>
  <c r="T68" i="1"/>
  <c r="U68" i="1"/>
  <c r="V68" i="1"/>
  <c r="W68" i="1"/>
  <c r="X68" i="1"/>
  <c r="Y68" i="1"/>
  <c r="T69" i="1"/>
  <c r="U69" i="1"/>
  <c r="V69" i="1"/>
  <c r="W69" i="1"/>
  <c r="X69" i="1"/>
  <c r="Y69" i="1"/>
  <c r="T70" i="1"/>
  <c r="U70" i="1"/>
  <c r="V70" i="1"/>
  <c r="W70" i="1"/>
  <c r="X70" i="1"/>
  <c r="Y70" i="1"/>
  <c r="T71" i="1"/>
  <c r="U71" i="1"/>
  <c r="V71" i="1"/>
  <c r="W71" i="1"/>
  <c r="X71" i="1"/>
  <c r="Y71" i="1"/>
  <c r="T72" i="1"/>
  <c r="U72" i="1"/>
  <c r="V72" i="1"/>
  <c r="W72" i="1"/>
  <c r="X72" i="1"/>
  <c r="Y72" i="1"/>
  <c r="T73" i="1"/>
  <c r="U73" i="1"/>
  <c r="V73" i="1"/>
  <c r="W73" i="1"/>
  <c r="X73" i="1"/>
  <c r="Y73" i="1"/>
  <c r="T74" i="1"/>
  <c r="U74" i="1"/>
  <c r="V74" i="1"/>
  <c r="W74" i="1"/>
  <c r="X74" i="1"/>
  <c r="Y74" i="1"/>
  <c r="T75" i="1"/>
  <c r="U75" i="1"/>
  <c r="V75" i="1"/>
  <c r="W75" i="1"/>
  <c r="X75" i="1"/>
  <c r="Y75" i="1"/>
  <c r="T76" i="1"/>
  <c r="U76" i="1"/>
  <c r="V76" i="1"/>
  <c r="W76" i="1"/>
  <c r="X76" i="1"/>
  <c r="Y76" i="1"/>
  <c r="T77" i="1"/>
  <c r="U77" i="1"/>
  <c r="V77" i="1"/>
  <c r="W77" i="1"/>
  <c r="X77" i="1"/>
  <c r="Y77" i="1"/>
  <c r="T78" i="1"/>
  <c r="U78" i="1"/>
  <c r="V78" i="1"/>
  <c r="W78" i="1"/>
  <c r="X78" i="1"/>
  <c r="Y78" i="1"/>
  <c r="T79" i="1"/>
  <c r="U79" i="1"/>
  <c r="V79" i="1"/>
  <c r="W79" i="1"/>
  <c r="X79" i="1"/>
  <c r="Y79" i="1"/>
  <c r="T80" i="1"/>
  <c r="U80" i="1"/>
  <c r="V80" i="1"/>
  <c r="W80" i="1"/>
  <c r="X80" i="1"/>
  <c r="Y80" i="1"/>
  <c r="T81" i="1"/>
  <c r="U81" i="1"/>
  <c r="V81" i="1"/>
  <c r="W81" i="1"/>
  <c r="X81" i="1"/>
  <c r="Y81" i="1"/>
  <c r="T82" i="1"/>
  <c r="U82" i="1"/>
  <c r="V82" i="1"/>
  <c r="W82" i="1"/>
  <c r="X82" i="1"/>
  <c r="Y82" i="1"/>
  <c r="T83" i="1"/>
  <c r="U83" i="1"/>
  <c r="V83" i="1"/>
  <c r="W83" i="1"/>
  <c r="X83" i="1"/>
  <c r="Y83" i="1"/>
  <c r="T84" i="1"/>
  <c r="U84" i="1"/>
  <c r="V84" i="1"/>
  <c r="W84" i="1"/>
  <c r="X84" i="1"/>
  <c r="Y84" i="1"/>
  <c r="T85" i="1"/>
  <c r="U85" i="1"/>
  <c r="V85" i="1"/>
  <c r="W85" i="1"/>
  <c r="X85" i="1"/>
  <c r="Y85" i="1"/>
  <c r="T86" i="1"/>
  <c r="U86" i="1"/>
  <c r="V86" i="1"/>
  <c r="W86" i="1"/>
  <c r="X86" i="1"/>
  <c r="Y86" i="1"/>
  <c r="T87" i="1"/>
  <c r="U87" i="1"/>
  <c r="V87" i="1"/>
  <c r="W87" i="1"/>
  <c r="X87" i="1"/>
  <c r="Y87" i="1"/>
  <c r="T88" i="1"/>
  <c r="U88" i="1"/>
  <c r="V88" i="1"/>
  <c r="W88" i="1"/>
  <c r="X88" i="1"/>
  <c r="Y88" i="1"/>
  <c r="T89" i="1"/>
  <c r="U89" i="1"/>
  <c r="V89" i="1"/>
  <c r="W89" i="1"/>
  <c r="X89" i="1"/>
  <c r="Y89" i="1"/>
  <c r="T90" i="1"/>
  <c r="U90" i="1"/>
  <c r="V90" i="1"/>
  <c r="W90" i="1"/>
  <c r="X90" i="1"/>
  <c r="Y90" i="1"/>
  <c r="T91" i="1"/>
  <c r="U91" i="1"/>
  <c r="V91" i="1"/>
  <c r="W91" i="1"/>
  <c r="X91" i="1"/>
  <c r="Y91" i="1"/>
  <c r="T92" i="1"/>
  <c r="U92" i="1"/>
  <c r="V92" i="1"/>
  <c r="W92" i="1"/>
  <c r="X92" i="1"/>
  <c r="Y92" i="1"/>
  <c r="T93" i="1"/>
  <c r="U93" i="1"/>
  <c r="V93" i="1"/>
  <c r="W93" i="1"/>
  <c r="X93" i="1"/>
  <c r="Y93" i="1"/>
  <c r="T94" i="1"/>
  <c r="U94" i="1"/>
  <c r="V94" i="1"/>
  <c r="W94" i="1"/>
  <c r="X94" i="1"/>
  <c r="Y94" i="1"/>
  <c r="T95" i="1"/>
  <c r="U95" i="1"/>
  <c r="V95" i="1"/>
  <c r="W95" i="1"/>
  <c r="X95" i="1"/>
  <c r="Y95" i="1"/>
  <c r="T96" i="1"/>
  <c r="U96" i="1"/>
  <c r="V96" i="1"/>
  <c r="W96" i="1"/>
  <c r="X96" i="1"/>
  <c r="Y96" i="1"/>
  <c r="T97" i="1"/>
  <c r="U97" i="1"/>
  <c r="V97" i="1"/>
  <c r="W97" i="1"/>
  <c r="X97" i="1"/>
  <c r="Y97" i="1"/>
  <c r="T98" i="1"/>
  <c r="U98" i="1"/>
  <c r="V98" i="1"/>
  <c r="W98" i="1"/>
  <c r="X98" i="1"/>
  <c r="Y98" i="1"/>
  <c r="T99" i="1"/>
  <c r="U99" i="1"/>
  <c r="V99" i="1"/>
  <c r="W99" i="1"/>
  <c r="X99" i="1"/>
  <c r="Y99" i="1"/>
  <c r="T100" i="1"/>
  <c r="U100" i="1"/>
  <c r="V100" i="1"/>
  <c r="W100" i="1"/>
  <c r="X100" i="1"/>
  <c r="Y100" i="1"/>
  <c r="T101" i="1"/>
  <c r="U101" i="1"/>
  <c r="V101" i="1"/>
  <c r="W101" i="1"/>
  <c r="X101" i="1"/>
  <c r="Y101" i="1"/>
  <c r="T102" i="1"/>
  <c r="U102" i="1"/>
  <c r="V102" i="1"/>
  <c r="W102" i="1"/>
  <c r="X102" i="1"/>
  <c r="Y102" i="1"/>
  <c r="T103" i="1"/>
  <c r="U103" i="1"/>
  <c r="V103" i="1"/>
  <c r="W103" i="1"/>
  <c r="X103" i="1"/>
  <c r="Y103" i="1"/>
  <c r="T104" i="1"/>
  <c r="U104" i="1"/>
  <c r="V104" i="1"/>
  <c r="W104" i="1"/>
  <c r="X104" i="1"/>
  <c r="Y104" i="1"/>
  <c r="T105" i="1"/>
  <c r="U105" i="1"/>
  <c r="V105" i="1"/>
  <c r="W105" i="1"/>
  <c r="X105" i="1"/>
  <c r="Y105" i="1"/>
  <c r="T106" i="1"/>
  <c r="U106" i="1"/>
  <c r="V106" i="1"/>
  <c r="W106" i="1"/>
  <c r="X106" i="1"/>
  <c r="Y106" i="1"/>
  <c r="T107" i="1"/>
  <c r="U107" i="1"/>
  <c r="V107" i="1"/>
  <c r="W107" i="1"/>
  <c r="X107" i="1"/>
  <c r="Y107" i="1"/>
  <c r="T108" i="1"/>
  <c r="U108" i="1"/>
  <c r="V108" i="1"/>
  <c r="W108" i="1"/>
  <c r="X108" i="1"/>
  <c r="Y108" i="1"/>
  <c r="T109" i="1"/>
  <c r="U109" i="1"/>
  <c r="V109" i="1"/>
  <c r="W109" i="1"/>
  <c r="X109" i="1"/>
  <c r="Y109" i="1"/>
  <c r="T110" i="1"/>
  <c r="U110" i="1"/>
  <c r="V110" i="1"/>
  <c r="W110" i="1"/>
  <c r="X110" i="1"/>
  <c r="Y110" i="1"/>
  <c r="T111" i="1"/>
  <c r="U111" i="1"/>
  <c r="V111" i="1"/>
  <c r="W111" i="1"/>
  <c r="X111" i="1"/>
  <c r="Y111" i="1"/>
  <c r="T112" i="1"/>
  <c r="U112" i="1"/>
  <c r="V112" i="1"/>
  <c r="W112" i="1"/>
  <c r="X112" i="1"/>
  <c r="Y112" i="1"/>
  <c r="T113" i="1"/>
  <c r="U113" i="1"/>
  <c r="V113" i="1"/>
  <c r="W113" i="1"/>
  <c r="X113" i="1"/>
  <c r="Y113" i="1"/>
  <c r="T114" i="1"/>
  <c r="U114" i="1"/>
  <c r="V114" i="1"/>
  <c r="W114" i="1"/>
  <c r="X114" i="1"/>
  <c r="Y114" i="1"/>
  <c r="T115" i="1"/>
  <c r="U115" i="1"/>
  <c r="V115" i="1"/>
  <c r="W115" i="1"/>
  <c r="X115" i="1"/>
  <c r="Y115" i="1"/>
  <c r="T116" i="1"/>
  <c r="U116" i="1"/>
  <c r="V116" i="1"/>
  <c r="W116" i="1"/>
  <c r="X116" i="1"/>
  <c r="Y116" i="1"/>
  <c r="T117" i="1"/>
  <c r="U117" i="1"/>
  <c r="V117" i="1"/>
  <c r="W117" i="1"/>
  <c r="X117" i="1"/>
  <c r="Y117" i="1"/>
  <c r="T118" i="1"/>
  <c r="U118" i="1"/>
  <c r="V118" i="1"/>
  <c r="W118" i="1"/>
  <c r="X118" i="1"/>
  <c r="Y118" i="1"/>
  <c r="T119" i="1"/>
  <c r="U119" i="1"/>
  <c r="V119" i="1"/>
  <c r="W119" i="1"/>
  <c r="X119" i="1"/>
  <c r="Y119" i="1"/>
  <c r="T120" i="1"/>
  <c r="U120" i="1"/>
  <c r="V120" i="1"/>
  <c r="W120" i="1"/>
  <c r="X120" i="1"/>
  <c r="Y120" i="1"/>
  <c r="T121" i="1"/>
  <c r="U121" i="1"/>
  <c r="V121" i="1"/>
  <c r="W121" i="1"/>
  <c r="X121" i="1"/>
  <c r="Y121" i="1"/>
  <c r="T122" i="1"/>
  <c r="U122" i="1"/>
  <c r="V122" i="1"/>
  <c r="W122" i="1"/>
  <c r="X122" i="1"/>
  <c r="Y122" i="1"/>
  <c r="T123" i="1"/>
  <c r="U123" i="1"/>
  <c r="V123" i="1"/>
  <c r="W123" i="1"/>
  <c r="X123" i="1"/>
  <c r="Y123" i="1"/>
  <c r="T124" i="1"/>
  <c r="U124" i="1"/>
  <c r="V124" i="1"/>
  <c r="W124" i="1"/>
  <c r="X124" i="1"/>
  <c r="Y124" i="1"/>
  <c r="T125" i="1"/>
  <c r="U125" i="1"/>
  <c r="V125" i="1"/>
  <c r="W125" i="1"/>
  <c r="X125" i="1"/>
  <c r="Y125" i="1"/>
  <c r="T126" i="1"/>
  <c r="U126" i="1"/>
  <c r="V126" i="1"/>
  <c r="W126" i="1"/>
  <c r="X126" i="1"/>
  <c r="Y126" i="1"/>
  <c r="T127" i="1"/>
  <c r="U127" i="1"/>
  <c r="V127" i="1"/>
  <c r="W127" i="1"/>
  <c r="X127" i="1"/>
  <c r="Y127" i="1"/>
  <c r="T128" i="1"/>
  <c r="U128" i="1"/>
  <c r="V128" i="1"/>
  <c r="W128" i="1"/>
  <c r="X128" i="1"/>
  <c r="Y128" i="1"/>
  <c r="T129" i="1"/>
  <c r="U129" i="1"/>
  <c r="V129" i="1"/>
  <c r="W129" i="1"/>
  <c r="X129" i="1"/>
  <c r="Y129" i="1"/>
  <c r="T130" i="1"/>
  <c r="U130" i="1"/>
  <c r="V130" i="1"/>
  <c r="W130" i="1"/>
  <c r="X130" i="1"/>
  <c r="Y130" i="1"/>
  <c r="T131" i="1"/>
  <c r="U131" i="1"/>
  <c r="V131" i="1"/>
  <c r="W131" i="1"/>
  <c r="X131" i="1"/>
  <c r="Y131" i="1"/>
  <c r="T132" i="1"/>
  <c r="U132" i="1"/>
  <c r="V132" i="1"/>
  <c r="W132" i="1"/>
  <c r="X132" i="1"/>
  <c r="Y132" i="1"/>
  <c r="T133" i="1"/>
  <c r="U133" i="1"/>
  <c r="V133" i="1"/>
  <c r="W133" i="1"/>
  <c r="X133" i="1"/>
  <c r="Y133" i="1"/>
  <c r="T134" i="1"/>
  <c r="U134" i="1"/>
  <c r="V134" i="1"/>
  <c r="W134" i="1"/>
  <c r="X134" i="1"/>
  <c r="Y134" i="1"/>
  <c r="T135" i="1"/>
  <c r="U135" i="1"/>
  <c r="V135" i="1"/>
  <c r="W135" i="1"/>
  <c r="X135" i="1"/>
  <c r="Y135" i="1"/>
  <c r="T136" i="1"/>
  <c r="U136" i="1"/>
  <c r="V136" i="1"/>
  <c r="W136" i="1"/>
  <c r="X136" i="1"/>
  <c r="Y136" i="1"/>
  <c r="T137" i="1"/>
  <c r="U137" i="1"/>
  <c r="V137" i="1"/>
  <c r="W137" i="1"/>
  <c r="X137" i="1"/>
  <c r="Y137" i="1"/>
  <c r="T138" i="1"/>
  <c r="U138" i="1"/>
  <c r="V138" i="1"/>
  <c r="W138" i="1"/>
  <c r="X138" i="1"/>
  <c r="Y138" i="1"/>
  <c r="T139" i="1"/>
  <c r="U139" i="1"/>
  <c r="V139" i="1"/>
  <c r="W139" i="1"/>
  <c r="X139" i="1"/>
  <c r="Y139" i="1"/>
  <c r="T140" i="1"/>
  <c r="U140" i="1"/>
  <c r="V140" i="1"/>
  <c r="W140" i="1"/>
  <c r="X140" i="1"/>
  <c r="Y140" i="1"/>
  <c r="T141" i="1"/>
  <c r="U141" i="1"/>
  <c r="V141" i="1"/>
  <c r="W141" i="1"/>
  <c r="X141" i="1"/>
  <c r="Y141" i="1"/>
  <c r="T142" i="1"/>
  <c r="U142" i="1"/>
  <c r="V142" i="1"/>
  <c r="W142" i="1"/>
  <c r="X142" i="1"/>
  <c r="Y142" i="1"/>
  <c r="T143" i="1"/>
  <c r="U143" i="1"/>
  <c r="V143" i="1"/>
  <c r="W143" i="1"/>
  <c r="X143" i="1"/>
  <c r="Y143" i="1"/>
  <c r="T144" i="1"/>
  <c r="U144" i="1"/>
  <c r="V144" i="1"/>
  <c r="W144" i="1"/>
  <c r="X144" i="1"/>
  <c r="Y144" i="1"/>
  <c r="T145" i="1"/>
  <c r="U145" i="1"/>
  <c r="V145" i="1"/>
  <c r="W145" i="1"/>
  <c r="X145" i="1"/>
  <c r="Y145" i="1"/>
  <c r="T146" i="1"/>
  <c r="U146" i="1"/>
  <c r="V146" i="1"/>
  <c r="W146" i="1"/>
  <c r="X146" i="1"/>
  <c r="Y146" i="1"/>
  <c r="T147" i="1"/>
  <c r="U147" i="1"/>
  <c r="V147" i="1"/>
  <c r="W147" i="1"/>
  <c r="X147" i="1"/>
  <c r="Y147" i="1"/>
  <c r="T148" i="1"/>
  <c r="U148" i="1"/>
  <c r="V148" i="1"/>
  <c r="W148" i="1"/>
  <c r="X148" i="1"/>
  <c r="Y148" i="1"/>
  <c r="T149" i="1"/>
  <c r="U149" i="1"/>
  <c r="V149" i="1"/>
  <c r="W149" i="1"/>
  <c r="X149" i="1"/>
  <c r="Y149" i="1"/>
  <c r="T150" i="1"/>
  <c r="U150" i="1"/>
  <c r="V150" i="1"/>
  <c r="W150" i="1"/>
  <c r="X150" i="1"/>
  <c r="Y150" i="1"/>
  <c r="T151" i="1"/>
  <c r="U151" i="1"/>
  <c r="V151" i="1"/>
  <c r="W151" i="1"/>
  <c r="X151" i="1"/>
  <c r="Y151" i="1"/>
  <c r="T152" i="1"/>
  <c r="U152" i="1"/>
  <c r="V152" i="1"/>
  <c r="W152" i="1"/>
  <c r="X152" i="1"/>
  <c r="Y152" i="1"/>
  <c r="T153" i="1"/>
  <c r="U153" i="1"/>
  <c r="V153" i="1"/>
  <c r="W153" i="1"/>
  <c r="X153" i="1"/>
  <c r="Y153" i="1"/>
  <c r="T154" i="1"/>
  <c r="U154" i="1"/>
  <c r="V154" i="1"/>
  <c r="W154" i="1"/>
  <c r="X154" i="1"/>
  <c r="Y154" i="1"/>
  <c r="T155" i="1"/>
  <c r="U155" i="1"/>
  <c r="V155" i="1"/>
  <c r="W155" i="1"/>
  <c r="X155" i="1"/>
  <c r="Y155" i="1"/>
  <c r="T156" i="1"/>
  <c r="U156" i="1"/>
  <c r="V156" i="1"/>
  <c r="W156" i="1"/>
  <c r="X156" i="1"/>
  <c r="Y156" i="1"/>
  <c r="T157" i="1"/>
  <c r="U157" i="1"/>
  <c r="V157" i="1"/>
  <c r="W157" i="1"/>
  <c r="X157" i="1"/>
  <c r="Y157" i="1"/>
  <c r="Y2" i="1"/>
  <c r="U2" i="1"/>
  <c r="V2" i="1"/>
  <c r="W2" i="1"/>
  <c r="X2" i="1"/>
  <c r="T2" i="1"/>
  <c r="Y1" i="5" l="1"/>
  <c r="T1" i="5"/>
  <c r="V1" i="5"/>
  <c r="W1" i="5"/>
  <c r="U1" i="5"/>
  <c r="X1" i="5"/>
  <c r="W1" i="1"/>
  <c r="U1" i="1"/>
  <c r="Y1" i="1"/>
  <c r="V1" i="1"/>
  <c r="X1" i="1"/>
  <c r="T1" i="1"/>
</calcChain>
</file>

<file path=xl/sharedStrings.xml><?xml version="1.0" encoding="utf-8"?>
<sst xmlns="http://schemas.openxmlformats.org/spreadsheetml/2006/main" count="10193" uniqueCount="1490">
  <si>
    <t>NOM</t>
  </si>
  <si>
    <t>Prénom</t>
  </si>
  <si>
    <t>Poste</t>
  </si>
  <si>
    <t>Pays d'origine</t>
  </si>
  <si>
    <t>Année2Naissance</t>
  </si>
  <si>
    <t>Messi</t>
  </si>
  <si>
    <t>Lionel</t>
  </si>
  <si>
    <t>Attaquant</t>
  </si>
  <si>
    <t>Argentine</t>
  </si>
  <si>
    <t>Ronaldo</t>
  </si>
  <si>
    <t>Cristiano</t>
  </si>
  <si>
    <t>Portugal</t>
  </si>
  <si>
    <t>Neymar</t>
  </si>
  <si>
    <t>Junior</t>
  </si>
  <si>
    <t>Brésil</t>
  </si>
  <si>
    <t>Mbappé</t>
  </si>
  <si>
    <t>Kylian</t>
  </si>
  <si>
    <t>France</t>
  </si>
  <si>
    <t>Lewandowski</t>
  </si>
  <si>
    <t>Robert</t>
  </si>
  <si>
    <t>Pologne</t>
  </si>
  <si>
    <t>Benzema</t>
  </si>
  <si>
    <t>Karim</t>
  </si>
  <si>
    <t>Modrić</t>
  </si>
  <si>
    <t>Luka</t>
  </si>
  <si>
    <t>Milieu</t>
  </si>
  <si>
    <t>Croatie</t>
  </si>
  <si>
    <t>De Bruyne</t>
  </si>
  <si>
    <t>Kevin</t>
  </si>
  <si>
    <t>Belgique</t>
  </si>
  <si>
    <t>Salah</t>
  </si>
  <si>
    <t>Mohamed</t>
  </si>
  <si>
    <t>Égypte</t>
  </si>
  <si>
    <t>Van Dijk</t>
  </si>
  <si>
    <t>Virgil</t>
  </si>
  <si>
    <t>Défenseur</t>
  </si>
  <si>
    <t>Pays-Bas</t>
  </si>
  <si>
    <t>Haaland</t>
  </si>
  <si>
    <t>Erling</t>
  </si>
  <si>
    <t>Norvège</t>
  </si>
  <si>
    <t>Courtois</t>
  </si>
  <si>
    <t>Thibaut</t>
  </si>
  <si>
    <t>Gardien</t>
  </si>
  <si>
    <t>Alisson</t>
  </si>
  <si>
    <t>Becker</t>
  </si>
  <si>
    <t>Ramos</t>
  </si>
  <si>
    <t>Sergio</t>
  </si>
  <si>
    <t>Espagne</t>
  </si>
  <si>
    <t>Kimmich</t>
  </si>
  <si>
    <t>Joshua</t>
  </si>
  <si>
    <t>Allemagne</t>
  </si>
  <si>
    <t>Pogba</t>
  </si>
  <si>
    <t>Paul</t>
  </si>
  <si>
    <t>Kanté</t>
  </si>
  <si>
    <t>N'Golo</t>
  </si>
  <si>
    <t>Griezmann</t>
  </si>
  <si>
    <t>Antoine</t>
  </si>
  <si>
    <t>Suárez</t>
  </si>
  <si>
    <t>Luis</t>
  </si>
  <si>
    <t>Uruguay</t>
  </si>
  <si>
    <t>Müller</t>
  </si>
  <si>
    <t>Thomas</t>
  </si>
  <si>
    <t>Alba</t>
  </si>
  <si>
    <t>Jordi</t>
  </si>
  <si>
    <t>Thiago</t>
  </si>
  <si>
    <t>Silva</t>
  </si>
  <si>
    <t>Neuer</t>
  </si>
  <si>
    <t>Manuel</t>
  </si>
  <si>
    <t>Casemiro</t>
  </si>
  <si>
    <t>Carlos</t>
  </si>
  <si>
    <t>Sterling</t>
  </si>
  <si>
    <t>Raheem</t>
  </si>
  <si>
    <t>Angleterre</t>
  </si>
  <si>
    <t>Kane</t>
  </si>
  <si>
    <t>Harry</t>
  </si>
  <si>
    <t>Özil</t>
  </si>
  <si>
    <t>Mesut</t>
  </si>
  <si>
    <t>Chiellini</t>
  </si>
  <si>
    <t>Giorgio</t>
  </si>
  <si>
    <t>Italie</t>
  </si>
  <si>
    <t>Foden</t>
  </si>
  <si>
    <t>Phil</t>
  </si>
  <si>
    <t>Rodri</t>
  </si>
  <si>
    <t>Hernández</t>
  </si>
  <si>
    <t>Hakimi</t>
  </si>
  <si>
    <t>Achraf</t>
  </si>
  <si>
    <t>Maroc</t>
  </si>
  <si>
    <t>Son</t>
  </si>
  <si>
    <t>Heung-min</t>
  </si>
  <si>
    <t>Lukaku</t>
  </si>
  <si>
    <t>Romelu</t>
  </si>
  <si>
    <t>Gündoğan</t>
  </si>
  <si>
    <t>Ilkay</t>
  </si>
  <si>
    <t>Fernandes</t>
  </si>
  <si>
    <t>Bruno</t>
  </si>
  <si>
    <t>Dias</t>
  </si>
  <si>
    <t>Rúben</t>
  </si>
  <si>
    <t>Sané</t>
  </si>
  <si>
    <t>Leroy</t>
  </si>
  <si>
    <t>Gnabry</t>
  </si>
  <si>
    <t>Serge</t>
  </si>
  <si>
    <t>Depay</t>
  </si>
  <si>
    <t>Memphis</t>
  </si>
  <si>
    <t>Di Maria</t>
  </si>
  <si>
    <t>Ãngel</t>
  </si>
  <si>
    <t>Dybala</t>
  </si>
  <si>
    <t>Paulo</t>
  </si>
  <si>
    <t>Martínez</t>
  </si>
  <si>
    <t>Lautaro</t>
  </si>
  <si>
    <t>Pedri</t>
  </si>
  <si>
    <t>Pedro</t>
  </si>
  <si>
    <t>Bellingham</t>
  </si>
  <si>
    <t>Jude</t>
  </si>
  <si>
    <t>Valverde</t>
  </si>
  <si>
    <t>Federico</t>
  </si>
  <si>
    <t>Vini Jr.</t>
  </si>
  <si>
    <t>Vinícius</t>
  </si>
  <si>
    <t>Rashford</t>
  </si>
  <si>
    <t>Marcus</t>
  </si>
  <si>
    <t>Mount</t>
  </si>
  <si>
    <t>Mason</t>
  </si>
  <si>
    <t>Chiesa</t>
  </si>
  <si>
    <t>Osimhen</t>
  </si>
  <si>
    <t>Victor</t>
  </si>
  <si>
    <t>Nigeria</t>
  </si>
  <si>
    <t>Tadic</t>
  </si>
  <si>
    <t>Dusan</t>
  </si>
  <si>
    <t>Serbie</t>
  </si>
  <si>
    <t>Maignan</t>
  </si>
  <si>
    <t>Mike</t>
  </si>
  <si>
    <t>Onana</t>
  </si>
  <si>
    <t>André</t>
  </si>
  <si>
    <t>Cameroun</t>
  </si>
  <si>
    <t>Lloris</t>
  </si>
  <si>
    <t>Hugo</t>
  </si>
  <si>
    <t>Rabiot</t>
  </si>
  <si>
    <t>Adrien</t>
  </si>
  <si>
    <t>Varane</t>
  </si>
  <si>
    <t>Raphaël</t>
  </si>
  <si>
    <t>Laporte</t>
  </si>
  <si>
    <t>Aymeric</t>
  </si>
  <si>
    <t>Alexander-Arnold</t>
  </si>
  <si>
    <t>Trent</t>
  </si>
  <si>
    <t>Robertson</t>
  </si>
  <si>
    <t>Andrew</t>
  </si>
  <si>
    <t>Écosse</t>
  </si>
  <si>
    <t>Marquinhos</t>
  </si>
  <si>
    <t>Marcos</t>
  </si>
  <si>
    <t>Piqué</t>
  </si>
  <si>
    <t>Gerard</t>
  </si>
  <si>
    <t>Busquets</t>
  </si>
  <si>
    <t>Iniesta</t>
  </si>
  <si>
    <t>Andrés</t>
  </si>
  <si>
    <t>Xavi</t>
  </si>
  <si>
    <t>Xavier</t>
  </si>
  <si>
    <t>Eto'o</t>
  </si>
  <si>
    <t>Samuel</t>
  </si>
  <si>
    <t>Pirlo</t>
  </si>
  <si>
    <t>Andrea</t>
  </si>
  <si>
    <t>Ibrahimović</t>
  </si>
  <si>
    <t>Zlatan</t>
  </si>
  <si>
    <t>Suède</t>
  </si>
  <si>
    <t>Robben</t>
  </si>
  <si>
    <t>Arjen</t>
  </si>
  <si>
    <t>Bale</t>
  </si>
  <si>
    <t>Gareth</t>
  </si>
  <si>
    <t>Pays de Galles</t>
  </si>
  <si>
    <t>Cavani</t>
  </si>
  <si>
    <t>Edinson</t>
  </si>
  <si>
    <t>Gerrard</t>
  </si>
  <si>
    <t>Steven</t>
  </si>
  <si>
    <t>Lampard</t>
  </si>
  <si>
    <t>Frank</t>
  </si>
  <si>
    <t>Kroos</t>
  </si>
  <si>
    <t>Toni</t>
  </si>
  <si>
    <t>Reus</t>
  </si>
  <si>
    <t>Marco</t>
  </si>
  <si>
    <t>Fabinho</t>
  </si>
  <si>
    <t>Fabio</t>
  </si>
  <si>
    <t>Bernardo</t>
  </si>
  <si>
    <t>Jesus</t>
  </si>
  <si>
    <t>Gabriel</t>
  </si>
  <si>
    <t>Jorginho</t>
  </si>
  <si>
    <t>Jorge</t>
  </si>
  <si>
    <t>Verratti</t>
  </si>
  <si>
    <t>Alaba</t>
  </si>
  <si>
    <t>David</t>
  </si>
  <si>
    <t>Autriche</t>
  </si>
  <si>
    <t>Bonucci</t>
  </si>
  <si>
    <t>Leonardo</t>
  </si>
  <si>
    <t>Kolarov</t>
  </si>
  <si>
    <t>Aleksandar</t>
  </si>
  <si>
    <t>Spinazzola</t>
  </si>
  <si>
    <t>Insigne</t>
  </si>
  <si>
    <t>Lorenzo</t>
  </si>
  <si>
    <t>Jović</t>
  </si>
  <si>
    <t>Ziyech</t>
  </si>
  <si>
    <t>Hakim</t>
  </si>
  <si>
    <t>Mahrez</t>
  </si>
  <si>
    <t>Riyad</t>
  </si>
  <si>
    <t>Algérie</t>
  </si>
  <si>
    <t>Fábio Vieira</t>
  </si>
  <si>
    <t>Fábio</t>
  </si>
  <si>
    <t>Dembélé</t>
  </si>
  <si>
    <t>Ousmane</t>
  </si>
  <si>
    <t>Coman</t>
  </si>
  <si>
    <t>Kingsley</t>
  </si>
  <si>
    <t>Tchouaméni</t>
  </si>
  <si>
    <t>Aurélien</t>
  </si>
  <si>
    <t>Camavinga</t>
  </si>
  <si>
    <t>Eduardo</t>
  </si>
  <si>
    <t>Gravenberch</t>
  </si>
  <si>
    <t>Ryan</t>
  </si>
  <si>
    <t>Upamecano</t>
  </si>
  <si>
    <t>Dayot</t>
  </si>
  <si>
    <t>Konaté</t>
  </si>
  <si>
    <t>Ibrahima</t>
  </si>
  <si>
    <t>Kulusevski</t>
  </si>
  <si>
    <t>Dejan</t>
  </si>
  <si>
    <t>Richarlison</t>
  </si>
  <si>
    <t>Barella</t>
  </si>
  <si>
    <t>Nicolò</t>
  </si>
  <si>
    <t>Yamal</t>
  </si>
  <si>
    <t>Lamine</t>
  </si>
  <si>
    <t>Gavi</t>
  </si>
  <si>
    <t>Pablo</t>
  </si>
  <si>
    <t>Olmo</t>
  </si>
  <si>
    <t>Dani</t>
  </si>
  <si>
    <t>Musiala</t>
  </si>
  <si>
    <t>Jamal</t>
  </si>
  <si>
    <t>Wirtz</t>
  </si>
  <si>
    <t>Florian</t>
  </si>
  <si>
    <t>Fati</t>
  </si>
  <si>
    <t>Ansu</t>
  </si>
  <si>
    <t>Rodrygo</t>
  </si>
  <si>
    <t>Nuno</t>
  </si>
  <si>
    <t>Hincapié</t>
  </si>
  <si>
    <t>Piero</t>
  </si>
  <si>
    <t>Équateur</t>
  </si>
  <si>
    <t>Balogun</t>
  </si>
  <si>
    <t>Folarin</t>
  </si>
  <si>
    <t>États-Unis</t>
  </si>
  <si>
    <t>Garnacho</t>
  </si>
  <si>
    <t>Alejandro</t>
  </si>
  <si>
    <t>Mudryk</t>
  </si>
  <si>
    <t>Mykhailo</t>
  </si>
  <si>
    <t>Ukraine</t>
  </si>
  <si>
    <t>Szoboszlai</t>
  </si>
  <si>
    <t>Dominik</t>
  </si>
  <si>
    <t>Hongrie</t>
  </si>
  <si>
    <t>Højlund</t>
  </si>
  <si>
    <t>Rasmus</t>
  </si>
  <si>
    <t>Danemark</t>
  </si>
  <si>
    <t>Ferguson</t>
  </si>
  <si>
    <t>Evan</t>
  </si>
  <si>
    <t>Irlande</t>
  </si>
  <si>
    <t>Almada</t>
  </si>
  <si>
    <t>Gonçalo</t>
  </si>
  <si>
    <t>Gvardiol</t>
  </si>
  <si>
    <t>Joško</t>
  </si>
  <si>
    <t>Scalvini</t>
  </si>
  <si>
    <t>Timber</t>
  </si>
  <si>
    <t>Jurrien</t>
  </si>
  <si>
    <t>Antonio</t>
  </si>
  <si>
    <t>Ugarte</t>
  </si>
  <si>
    <t>Caicedo</t>
  </si>
  <si>
    <t>Moisés</t>
  </si>
  <si>
    <t>Gil</t>
  </si>
  <si>
    <t>Bryan</t>
  </si>
  <si>
    <t>Cherki</t>
  </si>
  <si>
    <t>Rayan</t>
  </si>
  <si>
    <t>Diomandé</t>
  </si>
  <si>
    <t>Odilon</t>
  </si>
  <si>
    <t>Davies</t>
  </si>
  <si>
    <t>Alphonso</t>
  </si>
  <si>
    <t>Canada</t>
  </si>
  <si>
    <t>Moukoko</t>
  </si>
  <si>
    <t>Youssoufa</t>
  </si>
  <si>
    <t>Simons</t>
  </si>
  <si>
    <t>Kvaratskhelia</t>
  </si>
  <si>
    <t>Khvicha</t>
  </si>
  <si>
    <t>Géorgie</t>
  </si>
  <si>
    <t>Leao</t>
  </si>
  <si>
    <t>Rafael</t>
  </si>
  <si>
    <t>Zirkzee</t>
  </si>
  <si>
    <t>Medina</t>
  </si>
  <si>
    <t>Facundo</t>
  </si>
  <si>
    <t>Balde</t>
  </si>
  <si>
    <t>Pino</t>
  </si>
  <si>
    <t>Yeremy</t>
  </si>
  <si>
    <t>Chukwuemeka</t>
  </si>
  <si>
    <t>Carney</t>
  </si>
  <si>
    <t>Miretti</t>
  </si>
  <si>
    <t>Lavia</t>
  </si>
  <si>
    <t>Roméo</t>
  </si>
  <si>
    <t>Endrick</t>
  </si>
  <si>
    <t>Paixão</t>
  </si>
  <si>
    <t>Vitinha</t>
  </si>
  <si>
    <t>Vítor</t>
  </si>
  <si>
    <t>Rico</t>
  </si>
  <si>
    <t>Nico</t>
  </si>
  <si>
    <t>Ederson</t>
  </si>
  <si>
    <t>Moraes</t>
  </si>
  <si>
    <t>Ter Stegen</t>
  </si>
  <si>
    <t>Marc-André</t>
  </si>
  <si>
    <t>Donnarumma</t>
  </si>
  <si>
    <t>Gianluigi</t>
  </si>
  <si>
    <t>Oblak</t>
  </si>
  <si>
    <t>Jan</t>
  </si>
  <si>
    <t>Slovénie</t>
  </si>
  <si>
    <t>Ramsdale</t>
  </si>
  <si>
    <t>Aaron</t>
  </si>
  <si>
    <t>Pope</t>
  </si>
  <si>
    <t>Nick</t>
  </si>
  <si>
    <t>Szczęsny</t>
  </si>
  <si>
    <t>Wojciech</t>
  </si>
  <si>
    <t>Navas</t>
  </si>
  <si>
    <t>Keylor</t>
  </si>
  <si>
    <t>Pickford</t>
  </si>
  <si>
    <t>Jordan</t>
  </si>
  <si>
    <t>Sommer</t>
  </si>
  <si>
    <t>Yann</t>
  </si>
  <si>
    <t>Suisse</t>
  </si>
  <si>
    <t>Emiliano</t>
  </si>
  <si>
    <t>Livaković</t>
  </si>
  <si>
    <t>Ochoa</t>
  </si>
  <si>
    <t>Guillermo</t>
  </si>
  <si>
    <t>Mexique</t>
  </si>
  <si>
    <t>Trubin</t>
  </si>
  <si>
    <t>Anatoliy</t>
  </si>
  <si>
    <t>ID</t>
  </si>
  <si>
    <t>1991AlgMah</t>
  </si>
  <si>
    <t>1986AllNeu</t>
  </si>
  <si>
    <t>1989AllMül</t>
  </si>
  <si>
    <t>1989AllÖzi</t>
  </si>
  <si>
    <t>1989AllReu</t>
  </si>
  <si>
    <t>1990AllKro</t>
  </si>
  <si>
    <t>1991AllGün</t>
  </si>
  <si>
    <t>1993AllTer</t>
  </si>
  <si>
    <t>1995AllKim</t>
  </si>
  <si>
    <t>1996AllSan</t>
  </si>
  <si>
    <t>1997AllGna</t>
  </si>
  <si>
    <t>2003AllWir</t>
  </si>
  <si>
    <t>2004AllMus</t>
  </si>
  <si>
    <t>2005AllMou</t>
  </si>
  <si>
    <t>1978AngLam</t>
  </si>
  <si>
    <t>1980AngGer</t>
  </si>
  <si>
    <t>1992AngPop</t>
  </si>
  <si>
    <t>1993AngKan</t>
  </si>
  <si>
    <t>1994AngPic</t>
  </si>
  <si>
    <t>1995AngSte</t>
  </si>
  <si>
    <t>1997AngRas</t>
  </si>
  <si>
    <t>1999AngAle</t>
  </si>
  <si>
    <t>1999AngRam</t>
  </si>
  <si>
    <t>2000AngFod</t>
  </si>
  <si>
    <t>2000AngMou</t>
  </si>
  <si>
    <t>2003AngBel</t>
  </si>
  <si>
    <t>2004AngChu</t>
  </si>
  <si>
    <t>1987ArgMes</t>
  </si>
  <si>
    <t xml:space="preserve">1988ArgDi </t>
  </si>
  <si>
    <t>1993ArgMar</t>
  </si>
  <si>
    <t>1994ArgDyb</t>
  </si>
  <si>
    <t>1998ArgLau</t>
  </si>
  <si>
    <t>1998ArgMar</t>
  </si>
  <si>
    <t>2002ArgAlm</t>
  </si>
  <si>
    <t>2003ArgMed</t>
  </si>
  <si>
    <t>2005ArgGar</t>
  </si>
  <si>
    <t>1993AutAla</t>
  </si>
  <si>
    <t xml:space="preserve">1991BelDe </t>
  </si>
  <si>
    <t>1992BelCou</t>
  </si>
  <si>
    <t>1993BelLuk</t>
  </si>
  <si>
    <t>2003BelLav</t>
  </si>
  <si>
    <t>1984BréThi</t>
  </si>
  <si>
    <t>1992BréAli</t>
  </si>
  <si>
    <t>1992BréCas</t>
  </si>
  <si>
    <t>1992BréNey</t>
  </si>
  <si>
    <t>1993BréFab</t>
  </si>
  <si>
    <t>1994BréEde</t>
  </si>
  <si>
    <t>1995BréMar</t>
  </si>
  <si>
    <t>1997BréJes</t>
  </si>
  <si>
    <t>1998BréRic</t>
  </si>
  <si>
    <t>2001BréPai</t>
  </si>
  <si>
    <t>2001BréRod</t>
  </si>
  <si>
    <t>2001BréVin</t>
  </si>
  <si>
    <t>2007BréEnd</t>
  </si>
  <si>
    <t>1982CamEto</t>
  </si>
  <si>
    <t>1996CamOna</t>
  </si>
  <si>
    <t>2001CanDav</t>
  </si>
  <si>
    <t>1992CorSon</t>
  </si>
  <si>
    <t>1987CosNav</t>
  </si>
  <si>
    <t>2002CôtCai</t>
  </si>
  <si>
    <t>2002CôtDio</t>
  </si>
  <si>
    <t>1986CroMod</t>
  </si>
  <si>
    <t>1995CroLiv</t>
  </si>
  <si>
    <t>2002CroGva</t>
  </si>
  <si>
    <t>2003DanHøj</t>
  </si>
  <si>
    <t>1994ÉcoRob</t>
  </si>
  <si>
    <t>1992ÉgySal</t>
  </si>
  <si>
    <t>2003ÉquHin</t>
  </si>
  <si>
    <t>1981EspXav</t>
  </si>
  <si>
    <t>1984EspIni</t>
  </si>
  <si>
    <t>1986EspRam</t>
  </si>
  <si>
    <t>1987EspPiq</t>
  </si>
  <si>
    <t>1988EspBus</t>
  </si>
  <si>
    <t>1989EspAlb</t>
  </si>
  <si>
    <t>1994EspLap</t>
  </si>
  <si>
    <t>1996EspRod</t>
  </si>
  <si>
    <t>1999EspOlm</t>
  </si>
  <si>
    <t>2002EspGil</t>
  </si>
  <si>
    <t>2002EspRic</t>
  </si>
  <si>
    <t>2003EspFat</t>
  </si>
  <si>
    <t>2003EspPed</t>
  </si>
  <si>
    <t>2004EspBal</t>
  </si>
  <si>
    <t>2004EspPin</t>
  </si>
  <si>
    <t>2005EspGav</t>
  </si>
  <si>
    <t>2008EspYam</t>
  </si>
  <si>
    <t>2002ÉtaBal</t>
  </si>
  <si>
    <t>1987FraLlo</t>
  </si>
  <si>
    <t>1988FraBen</t>
  </si>
  <si>
    <t>1991FraGri</t>
  </si>
  <si>
    <t>1991FraKan</t>
  </si>
  <si>
    <t>1993FraPog</t>
  </si>
  <si>
    <t>1993FraVar</t>
  </si>
  <si>
    <t>1995FraRab</t>
  </si>
  <si>
    <t>1996FraMai</t>
  </si>
  <si>
    <t>1997FraCom</t>
  </si>
  <si>
    <t>1998FraUpa</t>
  </si>
  <si>
    <t>1999FraMba</t>
  </si>
  <si>
    <t>2000FraDem</t>
  </si>
  <si>
    <t>2000FraKon</t>
  </si>
  <si>
    <t>2001FraTch</t>
  </si>
  <si>
    <t>2002FraTch</t>
  </si>
  <si>
    <t>2003FraCam</t>
  </si>
  <si>
    <t>2004FraChe</t>
  </si>
  <si>
    <t>2001GéoKva</t>
  </si>
  <si>
    <t>2001HonSzo</t>
  </si>
  <si>
    <t>2005IrlFer</t>
  </si>
  <si>
    <t>1980ItaPir</t>
  </si>
  <si>
    <t>1985ItaChi</t>
  </si>
  <si>
    <t>1987ItaBon</t>
  </si>
  <si>
    <t>1990ItaIns</t>
  </si>
  <si>
    <t>1992ItaJor</t>
  </si>
  <si>
    <t>1993ItaVer</t>
  </si>
  <si>
    <t>1994ItaSpi</t>
  </si>
  <si>
    <t>1997ItaBar</t>
  </si>
  <si>
    <t>1998ItaChi</t>
  </si>
  <si>
    <t>1999ItaDon</t>
  </si>
  <si>
    <t>2003ItaAnt</t>
  </si>
  <si>
    <t>2004ItaMir</t>
  </si>
  <si>
    <t>2004ItaSca</t>
  </si>
  <si>
    <t>1994MarZiy</t>
  </si>
  <si>
    <t>1999MarHak</t>
  </si>
  <si>
    <t>1986MexOch</t>
  </si>
  <si>
    <t>1999NigOsi</t>
  </si>
  <si>
    <t>2000NorHaa</t>
  </si>
  <si>
    <t>1990PayBal</t>
  </si>
  <si>
    <t>1985PayRob</t>
  </si>
  <si>
    <t>1991PayVan</t>
  </si>
  <si>
    <t>1994PayDep</t>
  </si>
  <si>
    <t>2002PayTim</t>
  </si>
  <si>
    <t>2002PayZir</t>
  </si>
  <si>
    <t>2003PayGra</t>
  </si>
  <si>
    <t>2004PaySim</t>
  </si>
  <si>
    <t>1988PolLew</t>
  </si>
  <si>
    <t>1991PolSzc</t>
  </si>
  <si>
    <t>1985PorRon</t>
  </si>
  <si>
    <t>1994PorBer</t>
  </si>
  <si>
    <t>1995PorFer</t>
  </si>
  <si>
    <t>1997PorDia</t>
  </si>
  <si>
    <t>1997PorFáb</t>
  </si>
  <si>
    <t>2000PorLea</t>
  </si>
  <si>
    <t>2001PorNun</t>
  </si>
  <si>
    <t>2001PorVit</t>
  </si>
  <si>
    <t>2002PorRam</t>
  </si>
  <si>
    <t>1987SerKol</t>
  </si>
  <si>
    <t>1989SerTad</t>
  </si>
  <si>
    <t>1995SerJov</t>
  </si>
  <si>
    <t>1993SloObl</t>
  </si>
  <si>
    <t>1982SuèIbr</t>
  </si>
  <si>
    <t>1999SuèKul</t>
  </si>
  <si>
    <t>1989SuiSom</t>
  </si>
  <si>
    <t>2001UkrMud</t>
  </si>
  <si>
    <t>2002UkrTru</t>
  </si>
  <si>
    <t>1987UruSuá</t>
  </si>
  <si>
    <t>1988UruCav</t>
  </si>
  <si>
    <t>1998UruVal</t>
  </si>
  <si>
    <t>2002UruUga</t>
  </si>
  <si>
    <t>Goalkeeper</t>
  </si>
  <si>
    <t>Germany</t>
  </si>
  <si>
    <t>England</t>
  </si>
  <si>
    <t>Argentina</t>
  </si>
  <si>
    <t>Belgium</t>
  </si>
  <si>
    <t>Brazil</t>
  </si>
  <si>
    <t>Cameroon</t>
  </si>
  <si>
    <t>Croatia</t>
  </si>
  <si>
    <t>Italy</t>
  </si>
  <si>
    <t>Mexico</t>
  </si>
  <si>
    <t>Poland</t>
  </si>
  <si>
    <t>Slovenia</t>
  </si>
  <si>
    <t>Switzerland</t>
  </si>
  <si>
    <t>Costa-Rica</t>
  </si>
  <si>
    <t>Côte-d'Ivoire</t>
  </si>
  <si>
    <t>Corée-du-Sud</t>
  </si>
  <si>
    <t>LastName</t>
  </si>
  <si>
    <t>FirstName</t>
  </si>
  <si>
    <t>Position</t>
  </si>
  <si>
    <t>Country_Origin</t>
  </si>
  <si>
    <t>NEUER</t>
  </si>
  <si>
    <t>TER STEGEN</t>
  </si>
  <si>
    <t>POPE</t>
  </si>
  <si>
    <t>PICKFORD</t>
  </si>
  <si>
    <t>RAMSDALE</t>
  </si>
  <si>
    <t>MARTÍNEZ</t>
  </si>
  <si>
    <t>COURTOIS</t>
  </si>
  <si>
    <t>ALISSON</t>
  </si>
  <si>
    <t>EDERSON</t>
  </si>
  <si>
    <t>ONANA</t>
  </si>
  <si>
    <t>NAVAS</t>
  </si>
  <si>
    <t>LIVAKOVIĆ</t>
  </si>
  <si>
    <t>LLORIS</t>
  </si>
  <si>
    <t>MAIGNAN</t>
  </si>
  <si>
    <t>DONNARUMMA</t>
  </si>
  <si>
    <t>OCHOA</t>
  </si>
  <si>
    <t>SZCZĘSNY</t>
  </si>
  <si>
    <t>OBLAK</t>
  </si>
  <si>
    <t>SOMMER</t>
  </si>
  <si>
    <t>TRUBIN</t>
  </si>
  <si>
    <t>GERMANY</t>
  </si>
  <si>
    <t>ENGLAND</t>
  </si>
  <si>
    <t>ARGENTINA</t>
  </si>
  <si>
    <t>BELGIUM</t>
  </si>
  <si>
    <t>BRAZIL</t>
  </si>
  <si>
    <t>CAMEROON</t>
  </si>
  <si>
    <t>COSTA RICA</t>
  </si>
  <si>
    <t>CROATIA</t>
  </si>
  <si>
    <t>FRANCE</t>
  </si>
  <si>
    <t>ITALY</t>
  </si>
  <si>
    <t>MEXICO</t>
  </si>
  <si>
    <t>POLAND</t>
  </si>
  <si>
    <t>SLOVENIA</t>
  </si>
  <si>
    <t>SWITZERLAND</t>
  </si>
  <si>
    <t>UKRAINE</t>
  </si>
  <si>
    <t>GERGK01</t>
  </si>
  <si>
    <t>GERGK02</t>
  </si>
  <si>
    <t>ENGGK03</t>
  </si>
  <si>
    <t>ENGGK04</t>
  </si>
  <si>
    <t>ENGGK05</t>
  </si>
  <si>
    <t>ARGGK06</t>
  </si>
  <si>
    <t>BELGK07</t>
  </si>
  <si>
    <t>BRAGK08</t>
  </si>
  <si>
    <t>BRAGK09</t>
  </si>
  <si>
    <t>CAMGK10</t>
  </si>
  <si>
    <t>COSGK11</t>
  </si>
  <si>
    <t>CROGK12</t>
  </si>
  <si>
    <t>FRAGK13</t>
  </si>
  <si>
    <t>FRAGK14</t>
  </si>
  <si>
    <t>ITAGK15</t>
  </si>
  <si>
    <t>MEXGK16</t>
  </si>
  <si>
    <t>POLGK17</t>
  </si>
  <si>
    <t>SLOGK18</t>
  </si>
  <si>
    <t>SWIGK19</t>
  </si>
  <si>
    <t>UKRGK20</t>
  </si>
  <si>
    <t>Pelé</t>
  </si>
  <si>
    <t>Edson</t>
  </si>
  <si>
    <t>Maradona</t>
  </si>
  <si>
    <t>Diego</t>
  </si>
  <si>
    <t>Cruyff</t>
  </si>
  <si>
    <t>Johan</t>
  </si>
  <si>
    <t>Zidane</t>
  </si>
  <si>
    <t>Zinedine</t>
  </si>
  <si>
    <t>Di Stéfano</t>
  </si>
  <si>
    <t>Alfredo</t>
  </si>
  <si>
    <t>Beckenbauer</t>
  </si>
  <si>
    <t>Franz</t>
  </si>
  <si>
    <t>Nazário</t>
  </si>
  <si>
    <t>Platini</t>
  </si>
  <si>
    <t>Michel</t>
  </si>
  <si>
    <t>Pays2Naissance</t>
  </si>
  <si>
    <t>Yashin</t>
  </si>
  <si>
    <t>Lev</t>
  </si>
  <si>
    <t>Russie</t>
  </si>
  <si>
    <t>Zoff</t>
  </si>
  <si>
    <t>Dino</t>
  </si>
  <si>
    <t>Banks</t>
  </si>
  <si>
    <t>Gordon</t>
  </si>
  <si>
    <t>Buffon</t>
  </si>
  <si>
    <t>Schmeichel</t>
  </si>
  <si>
    <t>Peter</t>
  </si>
  <si>
    <t>Kahn</t>
  </si>
  <si>
    <t>Oliver</t>
  </si>
  <si>
    <t>Casillas</t>
  </si>
  <si>
    <t>Iker</t>
  </si>
  <si>
    <t>Arconada</t>
  </si>
  <si>
    <t>Taffarel</t>
  </si>
  <si>
    <t>Cláudio</t>
  </si>
  <si>
    <t>Nom</t>
  </si>
  <si>
    <t xml:space="preserve">Rupture du ligament croisé du genou </t>
  </si>
  <si>
    <t>Carvajal</t>
  </si>
  <si>
    <t>Eder</t>
  </si>
  <si>
    <t>Militão</t>
  </si>
  <si>
    <t>Mauro</t>
  </si>
  <si>
    <t>Icardi</t>
  </si>
  <si>
    <t>Gianluca</t>
  </si>
  <si>
    <t>Scamacca</t>
  </si>
  <si>
    <t>Gleison</t>
  </si>
  <si>
    <t>Bremer</t>
  </si>
  <si>
    <t>Alessandro</t>
  </si>
  <si>
    <t>Florenzi</t>
  </si>
  <si>
    <t>Sven</t>
  </si>
  <si>
    <t>Botman</t>
  </si>
  <si>
    <t>Duván</t>
  </si>
  <si>
    <t>Zapata</t>
  </si>
  <si>
    <t>Terem</t>
  </si>
  <si>
    <t>Moffi</t>
  </si>
  <si>
    <t xml:space="preserve">Rupture du ligament croisé </t>
  </si>
  <si>
    <t>Tiago</t>
  </si>
  <si>
    <t>Santos</t>
  </si>
  <si>
    <t>Moïse</t>
  </si>
  <si>
    <t>Sahi Dion</t>
  </si>
  <si>
    <t xml:space="preserve">Rupture du tendon d'Achille </t>
  </si>
  <si>
    <t>Abdoulaye</t>
  </si>
  <si>
    <t>Touré</t>
  </si>
  <si>
    <t xml:space="preserve">Côte fracturée </t>
  </si>
  <si>
    <t>Elysée</t>
  </si>
  <si>
    <t>Logbo</t>
  </si>
  <si>
    <t xml:space="preserve">Blessure de l'épaule </t>
  </si>
  <si>
    <t>Lucas</t>
  </si>
  <si>
    <t>Mincarelli</t>
  </si>
  <si>
    <t xml:space="preserve">Blessure musculaire </t>
  </si>
  <si>
    <t>Glenn</t>
  </si>
  <si>
    <t>Ngosso</t>
  </si>
  <si>
    <t>Tino</t>
  </si>
  <si>
    <t>Kadewere</t>
  </si>
  <si>
    <t xml:space="preserve">Blessure à la cuisse </t>
  </si>
  <si>
    <t>Umtiti</t>
  </si>
  <si>
    <t xml:space="preserve">Opération du genou </t>
  </si>
  <si>
    <t>Nabil</t>
  </si>
  <si>
    <t>Bentaleb</t>
  </si>
  <si>
    <t xml:space="preserve">Problème de cœur </t>
  </si>
  <si>
    <t>Matias</t>
  </si>
  <si>
    <t>Fernandez-Pardo</t>
  </si>
  <si>
    <t xml:space="preserve">Déchirure des ligaments de la cheville </t>
  </si>
  <si>
    <t>Daler</t>
  </si>
  <si>
    <t>Kuzyaev</t>
  </si>
  <si>
    <t xml:space="preserve">Blessure au mollet </t>
  </si>
  <si>
    <t>Sidiki</t>
  </si>
  <si>
    <t>Chérif</t>
  </si>
  <si>
    <t>Aïmen</t>
  </si>
  <si>
    <t>Moueffek</t>
  </si>
  <si>
    <t xml:space="preserve">Maladie </t>
  </si>
  <si>
    <t>Yvann</t>
  </si>
  <si>
    <t>Maçon</t>
  </si>
  <si>
    <t xml:space="preserve">Blessure au genou </t>
  </si>
  <si>
    <t>Lasso</t>
  </si>
  <si>
    <t>Coulibaly</t>
  </si>
  <si>
    <t xml:space="preserve">Blessure au ligament croisé </t>
  </si>
  <si>
    <t>Rémy</t>
  </si>
  <si>
    <t>Labeau Lascary</t>
  </si>
  <si>
    <t>Nikola</t>
  </si>
  <si>
    <t>Maksimović</t>
  </si>
  <si>
    <t xml:space="preserve">Blessure à l'ischio </t>
  </si>
  <si>
    <t>Valentín</t>
  </si>
  <si>
    <t>Carboni</t>
  </si>
  <si>
    <t>Nathan</t>
  </si>
  <si>
    <t>Buayi-Kiala</t>
  </si>
  <si>
    <t>Jesús</t>
  </si>
  <si>
    <t>José</t>
  </si>
  <si>
    <t>Gragera</t>
  </si>
  <si>
    <t>José Luis</t>
  </si>
  <si>
    <t>Catalá</t>
  </si>
  <si>
    <t>ter Stegen</t>
  </si>
  <si>
    <t>Rupture des ligaments croisés du genou</t>
  </si>
  <si>
    <t>Rupture du tendon d'Achille</t>
  </si>
  <si>
    <t>Côte fracturée</t>
  </si>
  <si>
    <t>Blessure de l'épaule</t>
  </si>
  <si>
    <t>Blessure musculaire</t>
  </si>
  <si>
    <t>Blessure à la cuisse</t>
  </si>
  <si>
    <t>Rupture du ligament croisé antérieur du genou</t>
  </si>
  <si>
    <t>Blessures récurrentes au genou</t>
  </si>
  <si>
    <t>Hallux rigidus nécessitant une intervention chirurgicale</t>
  </si>
  <si>
    <t>Rupture du ligament croisé antérieur et lésion du ménisque externe de la rodilla droite</t>
  </si>
  <si>
    <t>Blessure grave non spécifiée</t>
  </si>
  <si>
    <t>Tunisie</t>
  </si>
  <si>
    <t>Col1</t>
  </si>
  <si>
    <t>Col2</t>
  </si>
  <si>
    <t>Col3</t>
  </si>
  <si>
    <t>Col4</t>
  </si>
  <si>
    <t>Col5</t>
  </si>
  <si>
    <t>Col6</t>
  </si>
  <si>
    <t>Type Colonne</t>
  </si>
  <si>
    <t>Nom Colonne</t>
  </si>
  <si>
    <t>ID Colonne</t>
  </si>
  <si>
    <t>String</t>
  </si>
  <si>
    <t>Number</t>
  </si>
  <si>
    <t>Format Colonne</t>
  </si>
  <si>
    <t>Longueur Colonne</t>
  </si>
  <si>
    <t>INITCAP</t>
  </si>
  <si>
    <t>YYYY</t>
  </si>
  <si>
    <t>REGEX Colonne</t>
  </si>
  <si>
    <t>1920&lt;Y&lt;2050</t>
  </si>
  <si>
    <t>Langue Colonne</t>
  </si>
  <si>
    <t>Français</t>
  </si>
  <si>
    <r>
      <t xml:space="preserve">^[A..Za..z] </t>
    </r>
    <r>
      <rPr>
        <sz val="11"/>
        <color rgb="FFFF0000"/>
        <rFont val="Aptos Narrow"/>
        <family val="2"/>
        <scheme val="minor"/>
      </rPr>
      <t>?-.öè</t>
    </r>
  </si>
  <si>
    <r>
      <t xml:space="preserve">Français </t>
    </r>
    <r>
      <rPr>
        <sz val="11"/>
        <color rgb="FFFF0000"/>
        <rFont val="Aptos Narrow"/>
        <family val="2"/>
        <scheme val="minor"/>
      </rPr>
      <t>??</t>
    </r>
  </si>
  <si>
    <t>Min Colonne</t>
  </si>
  <si>
    <t>Max Colonne</t>
  </si>
  <si>
    <t>Min</t>
  </si>
  <si>
    <t>Max</t>
  </si>
  <si>
    <t>Moy Colonne</t>
  </si>
  <si>
    <t>Moy</t>
  </si>
  <si>
    <t>Nbval</t>
  </si>
  <si>
    <t>Col0</t>
  </si>
  <si>
    <t>Source</t>
  </si>
  <si>
    <t>Tab1_Joueurs</t>
  </si>
  <si>
    <t>Nombre de Valeurs Manquantes</t>
  </si>
  <si>
    <t>Nombre de Valeurs Présentes</t>
  </si>
  <si>
    <t>Nombre de valeurs avec ESPACE</t>
  </si>
  <si>
    <t>Nombre de valeurs avec TIRET</t>
  </si>
  <si>
    <t>Nombre de valeurs avec APOSTROPHE</t>
  </si>
  <si>
    <t>Tab1_Joueurs_001</t>
  </si>
  <si>
    <t>Tab1_Joueurs_002</t>
  </si>
  <si>
    <t>Tab1_Joueurs_003</t>
  </si>
  <si>
    <t>Tab1_Joueurs_004</t>
  </si>
  <si>
    <t>Tab1_Joueurs_005</t>
  </si>
  <si>
    <t>Tab1_Joueurs_006</t>
  </si>
  <si>
    <t>Tab1_Joueurs_007</t>
  </si>
  <si>
    <t>Tab1_Joueurs_008</t>
  </si>
  <si>
    <t>Tab1_Joueurs_009</t>
  </si>
  <si>
    <t>Tab1_Joueurs_010</t>
  </si>
  <si>
    <t>Tab1_Joueurs_011</t>
  </si>
  <si>
    <t>Tab1_Joueurs_012</t>
  </si>
  <si>
    <t>Tab1_Joueurs_013</t>
  </si>
  <si>
    <t>Tab1_Joueurs_014</t>
  </si>
  <si>
    <t>Tab1_Joueurs_015</t>
  </si>
  <si>
    <t>Tab1_Joueurs_016</t>
  </si>
  <si>
    <t>Tab1_Joueurs_017</t>
  </si>
  <si>
    <t>Tab1_Joueurs_018</t>
  </si>
  <si>
    <t>Tab1_Joueurs_019</t>
  </si>
  <si>
    <t>Tab1_Joueurs_020</t>
  </si>
  <si>
    <t>Tab1_Joueurs_021</t>
  </si>
  <si>
    <t>Tab1_Joueurs_022</t>
  </si>
  <si>
    <t>Tab1_Joueurs_023</t>
  </si>
  <si>
    <t>Tab1_Joueurs_024</t>
  </si>
  <si>
    <t>Tab1_Joueurs_025</t>
  </si>
  <si>
    <t>Tab1_Joueurs_026</t>
  </si>
  <si>
    <t>Tab1_Joueurs_027</t>
  </si>
  <si>
    <t>Tab1_Joueurs_028</t>
  </si>
  <si>
    <t>Tab1_Joueurs_029</t>
  </si>
  <si>
    <t>Tab1_Joueurs_030</t>
  </si>
  <si>
    <t>Tab1_Joueurs_031</t>
  </si>
  <si>
    <t>Tab1_Joueurs_032</t>
  </si>
  <si>
    <t>Tab1_Joueurs_033</t>
  </si>
  <si>
    <t>Tab1_Joueurs_034</t>
  </si>
  <si>
    <t>Tab1_Joueurs_035</t>
  </si>
  <si>
    <t>Tab1_Joueurs_036</t>
  </si>
  <si>
    <t>Tab1_Joueurs_037</t>
  </si>
  <si>
    <t>Tab1_Joueurs_038</t>
  </si>
  <si>
    <t>Tab1_Joueurs_039</t>
  </si>
  <si>
    <t>Tab1_Joueurs_040</t>
  </si>
  <si>
    <t>Tab1_Joueurs_041</t>
  </si>
  <si>
    <t>Tab1_Joueurs_042</t>
  </si>
  <si>
    <t>Tab1_Joueurs_043</t>
  </si>
  <si>
    <t>Tab1_Joueurs_044</t>
  </si>
  <si>
    <t>Tab1_Joueurs_045</t>
  </si>
  <si>
    <t>Tab1_Joueurs_046</t>
  </si>
  <si>
    <t>Tab1_Joueurs_047</t>
  </si>
  <si>
    <t>Tab1_Joueurs_048</t>
  </si>
  <si>
    <t>Tab1_Joueurs_049</t>
  </si>
  <si>
    <t>Tab1_Joueurs_050</t>
  </si>
  <si>
    <t>Tab1_Joueurs_051</t>
  </si>
  <si>
    <t>Tab1_Joueurs_052</t>
  </si>
  <si>
    <t>Tab1_Joueurs_053</t>
  </si>
  <si>
    <t>Tab1_Joueurs_054</t>
  </si>
  <si>
    <t>Tab1_Joueurs_055</t>
  </si>
  <si>
    <t>Tab1_Joueurs_056</t>
  </si>
  <si>
    <t>Tab1_Joueurs_057</t>
  </si>
  <si>
    <t>Tab1_Joueurs_058</t>
  </si>
  <si>
    <t>Tab1_Joueurs_059</t>
  </si>
  <si>
    <t>Tab1_Joueurs_060</t>
  </si>
  <si>
    <t>Tab1_Joueurs_061</t>
  </si>
  <si>
    <t>Tab1_Joueurs_062</t>
  </si>
  <si>
    <t>Tab1_Joueurs_063</t>
  </si>
  <si>
    <t>Tab1_Joueurs_064</t>
  </si>
  <si>
    <t>Tab1_Joueurs_065</t>
  </si>
  <si>
    <t>Tab1_Joueurs_066</t>
  </si>
  <si>
    <t>Tab1_Joueurs_067</t>
  </si>
  <si>
    <t>Tab1_Joueurs_068</t>
  </si>
  <si>
    <t>Tab1_Joueurs_069</t>
  </si>
  <si>
    <t>Tab1_Joueurs_070</t>
  </si>
  <si>
    <t>Tab1_Joueurs_071</t>
  </si>
  <si>
    <t>Tab1_Joueurs_072</t>
  </si>
  <si>
    <t>Tab1_Joueurs_073</t>
  </si>
  <si>
    <t>Tab1_Joueurs_074</t>
  </si>
  <si>
    <t>Tab1_Joueurs_075</t>
  </si>
  <si>
    <t>Tab1_Joueurs_076</t>
  </si>
  <si>
    <t>Tab1_Joueurs_077</t>
  </si>
  <si>
    <t>Tab1_Joueurs_078</t>
  </si>
  <si>
    <t>Tab1_Joueurs_079</t>
  </si>
  <si>
    <t>Tab1_Joueurs_080</t>
  </si>
  <si>
    <t>Tab1_Joueurs_081</t>
  </si>
  <si>
    <t>Tab1_Joueurs_082</t>
  </si>
  <si>
    <t>Tab1_Joueurs_083</t>
  </si>
  <si>
    <t>Tab1_Joueurs_084</t>
  </si>
  <si>
    <t>Tab1_Joueurs_085</t>
  </si>
  <si>
    <t>Tab1_Joueurs_086</t>
  </si>
  <si>
    <t>Tab1_Joueurs_087</t>
  </si>
  <si>
    <t>Tab1_Joueurs_088</t>
  </si>
  <si>
    <t>Tab1_Joueurs_089</t>
  </si>
  <si>
    <t>Tab1_Joueurs_090</t>
  </si>
  <si>
    <t>Tab1_Joueurs_091</t>
  </si>
  <si>
    <t>Tab1_Joueurs_092</t>
  </si>
  <si>
    <t>Tab1_Joueurs_093</t>
  </si>
  <si>
    <t>Tab1_Joueurs_094</t>
  </si>
  <si>
    <t>Tab1_Joueurs_095</t>
  </si>
  <si>
    <t>Tab1_Joueurs_096</t>
  </si>
  <si>
    <t>Tab1_Joueurs_097</t>
  </si>
  <si>
    <t>Tab1_Joueurs_098</t>
  </si>
  <si>
    <t>Tab1_Joueurs_099</t>
  </si>
  <si>
    <t>Tab1_Joueurs_100</t>
  </si>
  <si>
    <t>Tab1_Joueurs_101</t>
  </si>
  <si>
    <t>Tab1_Joueurs_102</t>
  </si>
  <si>
    <t>Tab1_Joueurs_103</t>
  </si>
  <si>
    <t>Tab1_Joueurs_104</t>
  </si>
  <si>
    <t>Tab1_Joueurs_105</t>
  </si>
  <si>
    <t>Tab1_Joueurs_106</t>
  </si>
  <si>
    <t>Tab1_Joueurs_107</t>
  </si>
  <si>
    <t>Tab1_Joueurs_108</t>
  </si>
  <si>
    <t>Tab1_Joueurs_109</t>
  </si>
  <si>
    <t>Tab1_Joueurs_110</t>
  </si>
  <si>
    <t>Tab1_Joueurs_111</t>
  </si>
  <si>
    <t>Tab1_Joueurs_112</t>
  </si>
  <si>
    <t>Tab1_Joueurs_113</t>
  </si>
  <si>
    <t>Tab1_Joueurs_114</t>
  </si>
  <si>
    <t>Tab1_Joueurs_115</t>
  </si>
  <si>
    <t>Tab1_Joueurs_116</t>
  </si>
  <si>
    <t>Tab1_Joueurs_117</t>
  </si>
  <si>
    <t>Tab1_Joueurs_118</t>
  </si>
  <si>
    <t>Tab1_Joueurs_119</t>
  </si>
  <si>
    <t>Tab1_Joueurs_120</t>
  </si>
  <si>
    <t>Tab1_Joueurs_121</t>
  </si>
  <si>
    <t>Tab1_Joueurs_122</t>
  </si>
  <si>
    <t>Tab1_Joueurs_123</t>
  </si>
  <si>
    <t>Tab1_Joueurs_124</t>
  </si>
  <si>
    <t>Tab1_Joueurs_125</t>
  </si>
  <si>
    <t>Tab1_Joueurs_126</t>
  </si>
  <si>
    <t>Tab1_Joueurs_127</t>
  </si>
  <si>
    <t>Tab1_Joueurs_128</t>
  </si>
  <si>
    <t>Tab1_Joueurs_129</t>
  </si>
  <si>
    <t>Tab1_Joueurs_130</t>
  </si>
  <si>
    <t>Tab1_Joueurs_131</t>
  </si>
  <si>
    <t>Tab1_Joueurs_132</t>
  </si>
  <si>
    <t>Tab1_Joueurs_133</t>
  </si>
  <si>
    <t>Tab1_Joueurs_134</t>
  </si>
  <si>
    <t>Tab1_Joueurs_135</t>
  </si>
  <si>
    <t>Tab1_Joueurs_136</t>
  </si>
  <si>
    <t>Tab1_Joueurs_137</t>
  </si>
  <si>
    <t>Tab1_Joueurs_138</t>
  </si>
  <si>
    <t>Tab1_Joueurs_139</t>
  </si>
  <si>
    <t>Tab1_Joueurs_140</t>
  </si>
  <si>
    <t>Tab1_Joueurs_141</t>
  </si>
  <si>
    <t>Tab1_Joueurs_142</t>
  </si>
  <si>
    <t>Tab1_Joueurs_143</t>
  </si>
  <si>
    <t>Tab1_Joueurs_144</t>
  </si>
  <si>
    <t>Tab1_Joueurs_145</t>
  </si>
  <si>
    <t>Tab1_Joueurs_146</t>
  </si>
  <si>
    <t>Tab1_Joueurs_147</t>
  </si>
  <si>
    <t>Tab1_Joueurs_148</t>
  </si>
  <si>
    <t>Tab1_Joueurs_149</t>
  </si>
  <si>
    <t>Tab1_Joueurs_150</t>
  </si>
  <si>
    <t>Tab1_Joueurs_151</t>
  </si>
  <si>
    <t>Tab1_Joueurs_152</t>
  </si>
  <si>
    <t>Tab1_Joueurs_153</t>
  </si>
  <si>
    <t>Tab1_Joueurs_154</t>
  </si>
  <si>
    <t>Tab1_Joueurs_155</t>
  </si>
  <si>
    <t>Tab1_Joueurs_156</t>
  </si>
  <si>
    <t>Nombre de doublons exacts</t>
  </si>
  <si>
    <t>Nombre de valeurs INCORRECTES</t>
  </si>
  <si>
    <t>Nombre de valeurs CORRECTES</t>
  </si>
  <si>
    <t>Tab2_Goalkeeper</t>
  </si>
  <si>
    <t>NNNNCCCC</t>
  </si>
  <si>
    <t>Valeurs Uniques</t>
  </si>
  <si>
    <t>Oui</t>
  </si>
  <si>
    <t>Non</t>
  </si>
  <si>
    <t>Anglais</t>
  </si>
  <si>
    <t>UPPER</t>
  </si>
  <si>
    <t>Français/Anglais??</t>
  </si>
  <si>
    <t>CCCCCNN</t>
  </si>
  <si>
    <t>Tab2_Goalkeeper_001</t>
  </si>
  <si>
    <t>Tab2_Goalkeeper_002</t>
  </si>
  <si>
    <t>Tab2_Goalkeeper_003</t>
  </si>
  <si>
    <t>Tab2_Goalkeeper_004</t>
  </si>
  <si>
    <t>Tab2_Goalkeeper_005</t>
  </si>
  <si>
    <t>Tab2_Goalkeeper_006</t>
  </si>
  <si>
    <t>Tab2_Goalkeeper_007</t>
  </si>
  <si>
    <t>Tab2_Goalkeeper_008</t>
  </si>
  <si>
    <t>Tab2_Goalkeeper_009</t>
  </si>
  <si>
    <t>Tab2_Goalkeeper_010</t>
  </si>
  <si>
    <t>Tab2_Goalkeeper_011</t>
  </si>
  <si>
    <t>Tab2_Goalkeeper_012</t>
  </si>
  <si>
    <t>Tab2_Goalkeeper_013</t>
  </si>
  <si>
    <t>Tab2_Goalkeeper_014</t>
  </si>
  <si>
    <t>Tab2_Goalkeeper_015</t>
  </si>
  <si>
    <t>Tab2_Goalkeeper_016</t>
  </si>
  <si>
    <t>Tab2_Goalkeeper_017</t>
  </si>
  <si>
    <t>Tab2_Goalkeeper_018</t>
  </si>
  <si>
    <t>Tab2_Goalkeeper_019</t>
  </si>
  <si>
    <t>Tab2_Goalkeeper_020</t>
  </si>
  <si>
    <t>Name</t>
  </si>
  <si>
    <t>Nationality</t>
  </si>
  <si>
    <t>Club</t>
  </si>
  <si>
    <t>Caps</t>
  </si>
  <si>
    <t>Goals</t>
  </si>
  <si>
    <t>Alex Morgan</t>
  </si>
  <si>
    <t>USA</t>
  </si>
  <si>
    <t>Forward</t>
  </si>
  <si>
    <t>San Diego Wave</t>
  </si>
  <si>
    <t>Megan Rapinoe</t>
  </si>
  <si>
    <t>Winger</t>
  </si>
  <si>
    <t>OL Reign</t>
  </si>
  <si>
    <t>Sam Kerr</t>
  </si>
  <si>
    <t>Australia</t>
  </si>
  <si>
    <t>Chelsea</t>
  </si>
  <si>
    <t>Lucy Bronze</t>
  </si>
  <si>
    <t>Defender</t>
  </si>
  <si>
    <t>Barcelona</t>
  </si>
  <si>
    <t>Amandine Henry</t>
  </si>
  <si>
    <t>Midfielder</t>
  </si>
  <si>
    <t>Olympique Lyonnais</t>
  </si>
  <si>
    <t>Marta Vieira da Silva</t>
  </si>
  <si>
    <t>Orlando Pride</t>
  </si>
  <si>
    <t>Christine Sinclair</t>
  </si>
  <si>
    <t>Portland Thorns</t>
  </si>
  <si>
    <t>Vivianne Miedema</t>
  </si>
  <si>
    <t>Netherlands</t>
  </si>
  <si>
    <t>Arsenal</t>
  </si>
  <si>
    <t>Fran Kirby</t>
  </si>
  <si>
    <t>Ada Hegerberg</t>
  </si>
  <si>
    <t>Norway</t>
  </si>
  <si>
    <t>Dzsenifer Marozsán</t>
  </si>
  <si>
    <t>Wendie Renard</t>
  </si>
  <si>
    <t>Julie Ertz</t>
  </si>
  <si>
    <t>Chicago Red Stars</t>
  </si>
  <si>
    <t>Carli Lloyd</t>
  </si>
  <si>
    <t>NJ/NY Gotham FC</t>
  </si>
  <si>
    <t>Tobin Heath</t>
  </si>
  <si>
    <t>Racing Louisville</t>
  </si>
  <si>
    <t>Rose Lavelle</t>
  </si>
  <si>
    <t>Pernille Harder</t>
  </si>
  <si>
    <t>Denmark</t>
  </si>
  <si>
    <t>Bayern Munich</t>
  </si>
  <si>
    <t>Lieke Martens</t>
  </si>
  <si>
    <t>Saki Kumagai</t>
  </si>
  <si>
    <t>Japan</t>
  </si>
  <si>
    <t>Ji So-yun</t>
  </si>
  <si>
    <t>South Korea</t>
  </si>
  <si>
    <t>Kadeisha Buchanan</t>
  </si>
  <si>
    <t>Alexia Putellas</t>
  </si>
  <si>
    <t>Spain</t>
  </si>
  <si>
    <t>Irene Paredes</t>
  </si>
  <si>
    <t>Patri Guijarro</t>
  </si>
  <si>
    <t>Marie-Antoinette Katoto</t>
  </si>
  <si>
    <t>Paris Saint-Germain</t>
  </si>
  <si>
    <t>Delphine Cascarino</t>
  </si>
  <si>
    <t>Asisat Oshoala</t>
  </si>
  <si>
    <t>Sam Mewis</t>
  </si>
  <si>
    <t>Kansas City Current</t>
  </si>
  <si>
    <t>Beth Mead</t>
  </si>
  <si>
    <t>Leah Williamson</t>
  </si>
  <si>
    <t>Sénégal</t>
  </si>
  <si>
    <t>Japon</t>
  </si>
  <si>
    <t>Pays</t>
  </si>
  <si>
    <t>Country</t>
  </si>
  <si>
    <t>Postes</t>
  </si>
  <si>
    <t>Attaquante</t>
  </si>
  <si>
    <t>مهاجمة</t>
  </si>
  <si>
    <t>Ailière</t>
  </si>
  <si>
    <t>جناح</t>
  </si>
  <si>
    <t>Défenseure</t>
  </si>
  <si>
    <t>مدافعة</t>
  </si>
  <si>
    <t>Milieu de terrain</t>
  </si>
  <si>
    <t>لاعبة وسط</t>
  </si>
  <si>
    <t>Algeria</t>
  </si>
  <si>
    <t>الجزائر</t>
  </si>
  <si>
    <t>ألمانيا</t>
  </si>
  <si>
    <t>إنجلترا</t>
  </si>
  <si>
    <t>الأرجنتين</t>
  </si>
  <si>
    <t>Austria</t>
  </si>
  <si>
    <t>النمسا</t>
  </si>
  <si>
    <t>بلجيكا</t>
  </si>
  <si>
    <t>البرازيل</t>
  </si>
  <si>
    <t>الكاميرون</t>
  </si>
  <si>
    <t>كندا</t>
  </si>
  <si>
    <t>كوريا الجنوبية</t>
  </si>
  <si>
    <t>كوستاريكا</t>
  </si>
  <si>
    <t>كوت ديفوار</t>
  </si>
  <si>
    <t>كرواتيا</t>
  </si>
  <si>
    <t>الدنمارك</t>
  </si>
  <si>
    <t>Scotland</t>
  </si>
  <si>
    <t>اسكتلندا</t>
  </si>
  <si>
    <t>Egypt</t>
  </si>
  <si>
    <t>مصر</t>
  </si>
  <si>
    <t>Ecuador</t>
  </si>
  <si>
    <t>الإكوادور</t>
  </si>
  <si>
    <t>إسبانيا</t>
  </si>
  <si>
    <t>فرنسا</t>
  </si>
  <si>
    <t>Georgia</t>
  </si>
  <si>
    <t>جورجيا</t>
  </si>
  <si>
    <t>Hungary</t>
  </si>
  <si>
    <t>المجر</t>
  </si>
  <si>
    <t>Ireland</t>
  </si>
  <si>
    <t>أيرلندا</t>
  </si>
  <si>
    <t>إيطاليا</t>
  </si>
  <si>
    <t>اليابان</t>
  </si>
  <si>
    <t>Morocco</t>
  </si>
  <si>
    <t>المغرب</t>
  </si>
  <si>
    <t>المكسيك</t>
  </si>
  <si>
    <t>نيجيريا</t>
  </si>
  <si>
    <t>النرويج</t>
  </si>
  <si>
    <t>Wales</t>
  </si>
  <si>
    <t>ويلز</t>
  </si>
  <si>
    <t>هولندا</t>
  </si>
  <si>
    <t>بولندا</t>
  </si>
  <si>
    <t>البرتغال</t>
  </si>
  <si>
    <t>Senegal</t>
  </si>
  <si>
    <t>السنغال</t>
  </si>
  <si>
    <t>Serbia</t>
  </si>
  <si>
    <t>صربيا</t>
  </si>
  <si>
    <t>سلوفينيا</t>
  </si>
  <si>
    <t>Sweden</t>
  </si>
  <si>
    <t>السويد</t>
  </si>
  <si>
    <t>سويسرا</t>
  </si>
  <si>
    <t>Tunisia</t>
  </si>
  <si>
    <t>تونس</t>
  </si>
  <si>
    <t>أوكرانيا</t>
  </si>
  <si>
    <t>أوروغواي</t>
  </si>
  <si>
    <t>Country_Arabic</t>
  </si>
  <si>
    <t>DZ</t>
  </si>
  <si>
    <t>DE</t>
  </si>
  <si>
    <t>GB</t>
  </si>
  <si>
    <t>AR</t>
  </si>
  <si>
    <t>AT</t>
  </si>
  <si>
    <t>BE</t>
  </si>
  <si>
    <t>BR</t>
  </si>
  <si>
    <t>CM</t>
  </si>
  <si>
    <t>CA</t>
  </si>
  <si>
    <t>KR</t>
  </si>
  <si>
    <t>CR</t>
  </si>
  <si>
    <t>CI</t>
  </si>
  <si>
    <t>HR</t>
  </si>
  <si>
    <t>DK</t>
  </si>
  <si>
    <t>EG</t>
  </si>
  <si>
    <t>EC</t>
  </si>
  <si>
    <t>ES</t>
  </si>
  <si>
    <t>FR</t>
  </si>
  <si>
    <t>GE</t>
  </si>
  <si>
    <t>HU</t>
  </si>
  <si>
    <t>IE</t>
  </si>
  <si>
    <t>IT</t>
  </si>
  <si>
    <t>JP</t>
  </si>
  <si>
    <t>MA</t>
  </si>
  <si>
    <t>MX</t>
  </si>
  <si>
    <t>NG</t>
  </si>
  <si>
    <t>NO</t>
  </si>
  <si>
    <t>NL</t>
  </si>
  <si>
    <t>PL</t>
  </si>
  <si>
    <t>PT</t>
  </si>
  <si>
    <t>SN</t>
  </si>
  <si>
    <t>RS</t>
  </si>
  <si>
    <t>SI</t>
  </si>
  <si>
    <t>SE</t>
  </si>
  <si>
    <t>CH</t>
  </si>
  <si>
    <t>TN</t>
  </si>
  <si>
    <t>UA</t>
  </si>
  <si>
    <t>UY</t>
  </si>
  <si>
    <t>Code_Country</t>
  </si>
  <si>
    <t>CountryOfOrigin</t>
  </si>
  <si>
    <t>Gender</t>
  </si>
  <si>
    <t>ID_footballer</t>
  </si>
  <si>
    <t>YearOfBirth</t>
  </si>
  <si>
    <t>DataSource</t>
  </si>
  <si>
    <t>M</t>
  </si>
  <si>
    <t>SELECT</t>
  </si>
  <si>
    <t>FROM</t>
  </si>
  <si>
    <t>Date of Birth</t>
  </si>
  <si>
    <t xml:space="preserve">Tab2_Goalkeeper </t>
  </si>
  <si>
    <t>Tab3_TOP10_JoueursFoot</t>
  </si>
  <si>
    <t>PORTUGAL</t>
  </si>
  <si>
    <t>DI STÉFANO</t>
  </si>
  <si>
    <t>YASHIN</t>
  </si>
  <si>
    <t>BANKS</t>
  </si>
  <si>
    <t>PELÉ</t>
  </si>
  <si>
    <t>ZOFF</t>
  </si>
  <si>
    <t>BECKENBAUER</t>
  </si>
  <si>
    <t>CRUYFF</t>
  </si>
  <si>
    <t>ARCONADA</t>
  </si>
  <si>
    <t>PLATINI</t>
  </si>
  <si>
    <t>MARADONA</t>
  </si>
  <si>
    <t>SCHMEICHEL</t>
  </si>
  <si>
    <t>TAFFAREL</t>
  </si>
  <si>
    <t>KAHN</t>
  </si>
  <si>
    <t>ZIDANE</t>
  </si>
  <si>
    <t>RONALDO</t>
  </si>
  <si>
    <t>BUFFON</t>
  </si>
  <si>
    <t>CASILLAS</t>
  </si>
  <si>
    <t>MESSI</t>
  </si>
  <si>
    <t>NETHERLANDS</t>
  </si>
  <si>
    <t>SPAIN</t>
  </si>
  <si>
    <t>DENMARK</t>
  </si>
  <si>
    <t>Russia</t>
  </si>
  <si>
    <t>RU</t>
  </si>
  <si>
    <t>روسيا</t>
  </si>
  <si>
    <t>RUSSIA</t>
  </si>
  <si>
    <t>Serious_injury</t>
  </si>
  <si>
    <t xml:space="preserve">WHERE … </t>
  </si>
  <si>
    <t>UNION</t>
  </si>
  <si>
    <t>NULL</t>
  </si>
  <si>
    <t>NULL, NULL, NULL, NULL, NULL</t>
  </si>
  <si>
    <t>NULL, NULL, NULL, NULL</t>
  </si>
  <si>
    <r>
      <rPr>
        <sz val="11"/>
        <color rgb="FFFF0000"/>
        <rFont val="Aptos Narrow"/>
        <scheme val="minor"/>
      </rPr>
      <t>"Tab3_TOP10_JoueursFoot"</t>
    </r>
    <r>
      <rPr>
        <sz val="11"/>
        <color theme="1"/>
        <rFont val="Aptos Narrow"/>
        <family val="2"/>
        <scheme val="minor"/>
      </rPr>
      <t xml:space="preserve">, ID, </t>
    </r>
    <r>
      <rPr>
        <sz val="11"/>
        <color rgb="FFFF0000"/>
        <rFont val="Aptos Narrow"/>
        <scheme val="minor"/>
      </rPr>
      <t>"M"</t>
    </r>
    <r>
      <rPr>
        <sz val="11"/>
        <color theme="1"/>
        <rFont val="Aptos Narrow"/>
        <family val="2"/>
        <scheme val="minor"/>
      </rPr>
      <t xml:space="preserve">, INITCAP(Prénom), UPPER(NOM), INITCAP(Poste), UPPER(TRANSLATECOUNTRY(Pays2Naissance), </t>
    </r>
    <r>
      <rPr>
        <sz val="11"/>
        <color theme="1"/>
        <rFont val="Aptos Narrow"/>
        <scheme val="minor"/>
      </rPr>
      <t>Année2Naissance,</t>
    </r>
  </si>
  <si>
    <t>Tab4_BlessuresJoueurs</t>
  </si>
  <si>
    <t>RODRI</t>
  </si>
  <si>
    <t>Type2Blessure_Grave</t>
  </si>
  <si>
    <t>Tab5_JoueusesFoot</t>
  </si>
  <si>
    <t>Club, Caps, Goals, NULL</t>
  </si>
  <si>
    <t>AUSTRALIA</t>
  </si>
  <si>
    <t>CANADA</t>
  </si>
  <si>
    <t>NORWAY</t>
  </si>
  <si>
    <t>JAPAN</t>
  </si>
  <si>
    <t>SOUTH KOREA</t>
  </si>
  <si>
    <t>NIGERIA</t>
  </si>
  <si>
    <t>Alex</t>
  </si>
  <si>
    <t>Morgan</t>
  </si>
  <si>
    <t>Megan</t>
  </si>
  <si>
    <t>Rapinoe</t>
  </si>
  <si>
    <t>Sam</t>
  </si>
  <si>
    <t>Kerr</t>
  </si>
  <si>
    <t>Lucy</t>
  </si>
  <si>
    <t>Bronze</t>
  </si>
  <si>
    <t>Amandine</t>
  </si>
  <si>
    <t>Henry</t>
  </si>
  <si>
    <t>Marta</t>
  </si>
  <si>
    <t>Vieira</t>
  </si>
  <si>
    <t>da</t>
  </si>
  <si>
    <t>Christine</t>
  </si>
  <si>
    <t>Sinclair</t>
  </si>
  <si>
    <t>Vivianne</t>
  </si>
  <si>
    <t>Miedema</t>
  </si>
  <si>
    <t>Fran</t>
  </si>
  <si>
    <t>Kirby</t>
  </si>
  <si>
    <t>Ada</t>
  </si>
  <si>
    <t>Hegerberg</t>
  </si>
  <si>
    <t>Dzsenifer</t>
  </si>
  <si>
    <t>Marozsán</t>
  </si>
  <si>
    <t>Wendie</t>
  </si>
  <si>
    <t>Renard</t>
  </si>
  <si>
    <t>Julie</t>
  </si>
  <si>
    <t>Ertz</t>
  </si>
  <si>
    <t>Carli</t>
  </si>
  <si>
    <t>Lloyd</t>
  </si>
  <si>
    <t>Tobin</t>
  </si>
  <si>
    <t>Heath</t>
  </si>
  <si>
    <t>Rose</t>
  </si>
  <si>
    <t>Lavelle</t>
  </si>
  <si>
    <t>Pernille</t>
  </si>
  <si>
    <t>Harder</t>
  </si>
  <si>
    <t>Lieke</t>
  </si>
  <si>
    <t>Martens</t>
  </si>
  <si>
    <t>Saki</t>
  </si>
  <si>
    <t>Kumagai</t>
  </si>
  <si>
    <t>Ji</t>
  </si>
  <si>
    <t>So-yun</t>
  </si>
  <si>
    <t>Kadeisha</t>
  </si>
  <si>
    <t>Buchanan</t>
  </si>
  <si>
    <t>Alexia</t>
  </si>
  <si>
    <t>Putellas</t>
  </si>
  <si>
    <t>Irene</t>
  </si>
  <si>
    <t>Paredes</t>
  </si>
  <si>
    <t>Patri</t>
  </si>
  <si>
    <t>Guijarro</t>
  </si>
  <si>
    <t>Marie-Antoinette</t>
  </si>
  <si>
    <t>Katoto</t>
  </si>
  <si>
    <t>Delphine</t>
  </si>
  <si>
    <t>Cascarino</t>
  </si>
  <si>
    <t>Asisat</t>
  </si>
  <si>
    <t>Oshoala</t>
  </si>
  <si>
    <t>Mewis</t>
  </si>
  <si>
    <t>Beth</t>
  </si>
  <si>
    <t>Mead</t>
  </si>
  <si>
    <t>Leah</t>
  </si>
  <si>
    <t>Williamson</t>
  </si>
  <si>
    <t>Vieira-da-Silva</t>
  </si>
  <si>
    <t>MORGAN</t>
  </si>
  <si>
    <t>RAPINOE</t>
  </si>
  <si>
    <t>KERR</t>
  </si>
  <si>
    <t>BRONZE</t>
  </si>
  <si>
    <t>HENRY</t>
  </si>
  <si>
    <t>VIEIRA-DA-SILVA</t>
  </si>
  <si>
    <t>SINCLAIR</t>
  </si>
  <si>
    <t>MIEDEMA</t>
  </si>
  <si>
    <t>KIRBY</t>
  </si>
  <si>
    <t>HEGERBERG</t>
  </si>
  <si>
    <t>MAROZSÁN</t>
  </si>
  <si>
    <t>RENARD</t>
  </si>
  <si>
    <t>ERTZ</t>
  </si>
  <si>
    <t>LLOYD</t>
  </si>
  <si>
    <t>HEATH</t>
  </si>
  <si>
    <t>LAVELLE</t>
  </si>
  <si>
    <t>HARDER</t>
  </si>
  <si>
    <t>MARTENS</t>
  </si>
  <si>
    <t>KUMAGAI</t>
  </si>
  <si>
    <t>SO-YUN</t>
  </si>
  <si>
    <t>BUCHANAN</t>
  </si>
  <si>
    <t>PUTELLAS</t>
  </si>
  <si>
    <t>PAREDES</t>
  </si>
  <si>
    <t>GUIJARRO</t>
  </si>
  <si>
    <t>KATOTO</t>
  </si>
  <si>
    <t>CASCARINO</t>
  </si>
  <si>
    <t>OSHOALA</t>
  </si>
  <si>
    <t>MEWIS</t>
  </si>
  <si>
    <t>MEAD</t>
  </si>
  <si>
    <t>WILLIAMSON</t>
  </si>
  <si>
    <t>F</t>
  </si>
  <si>
    <t>;</t>
  </si>
  <si>
    <t>UNION ALL</t>
  </si>
  <si>
    <t>MAHREZ</t>
  </si>
  <si>
    <t>MÜLLER</t>
  </si>
  <si>
    <t>ÖZIL</t>
  </si>
  <si>
    <t>REUS</t>
  </si>
  <si>
    <t>KROOS</t>
  </si>
  <si>
    <t>GÜNDOĞAN</t>
  </si>
  <si>
    <t>KIMMICH</t>
  </si>
  <si>
    <t>SANÉ</t>
  </si>
  <si>
    <t>GNABRY</t>
  </si>
  <si>
    <t>WIRTZ</t>
  </si>
  <si>
    <t>MUSIALA</t>
  </si>
  <si>
    <t>MOUKOKO</t>
  </si>
  <si>
    <t>LAMPARD</t>
  </si>
  <si>
    <t>GERRARD</t>
  </si>
  <si>
    <t>KANE</t>
  </si>
  <si>
    <t>STERLING</t>
  </si>
  <si>
    <t>RASHFORD</t>
  </si>
  <si>
    <t>ALEXANDER-ARNOLD</t>
  </si>
  <si>
    <t>FODEN</t>
  </si>
  <si>
    <t>MOUNT</t>
  </si>
  <si>
    <t>BELLINGHAM</t>
  </si>
  <si>
    <t>CHUKWUEMEKA</t>
  </si>
  <si>
    <t>DI MARIA</t>
  </si>
  <si>
    <t>DYBALA</t>
  </si>
  <si>
    <t>LAUTARO</t>
  </si>
  <si>
    <t>ALMADA</t>
  </si>
  <si>
    <t>MEDINA</t>
  </si>
  <si>
    <t>GARNACHO</t>
  </si>
  <si>
    <t>ALABA</t>
  </si>
  <si>
    <t>DE BRUYNE</t>
  </si>
  <si>
    <t>LUKAKU</t>
  </si>
  <si>
    <t>LAVIA</t>
  </si>
  <si>
    <t>THIAGO</t>
  </si>
  <si>
    <t>CASEMIRO</t>
  </si>
  <si>
    <t>NEYMAR</t>
  </si>
  <si>
    <t>FABINHO</t>
  </si>
  <si>
    <t>MARQUINHOS</t>
  </si>
  <si>
    <t>JESUS</t>
  </si>
  <si>
    <t>RICHARLISON</t>
  </si>
  <si>
    <t>PAIXÃO</t>
  </si>
  <si>
    <t>RODRYGO</t>
  </si>
  <si>
    <t>VINI JR.</t>
  </si>
  <si>
    <t>ENDRICK</t>
  </si>
  <si>
    <t>ETO'O</t>
  </si>
  <si>
    <t>DAVIES</t>
  </si>
  <si>
    <t>SON</t>
  </si>
  <si>
    <t>CAICEDO</t>
  </si>
  <si>
    <t>DIOMANDÉ</t>
  </si>
  <si>
    <t>MODRIĆ</t>
  </si>
  <si>
    <t>GVARDIOL</t>
  </si>
  <si>
    <t>HØJLUND</t>
  </si>
  <si>
    <t>ROBERTSON</t>
  </si>
  <si>
    <t>SALAH</t>
  </si>
  <si>
    <t>HINCAPIÉ</t>
  </si>
  <si>
    <t>XAVI</t>
  </si>
  <si>
    <t>INIESTA</t>
  </si>
  <si>
    <t>RAMOS</t>
  </si>
  <si>
    <t>PIQUÉ</t>
  </si>
  <si>
    <t>BUSQUETS</t>
  </si>
  <si>
    <t>ALBA</t>
  </si>
  <si>
    <t>LAPORTE</t>
  </si>
  <si>
    <t>OLMO</t>
  </si>
  <si>
    <t>GIL</t>
  </si>
  <si>
    <t>RICO</t>
  </si>
  <si>
    <t>FATI</t>
  </si>
  <si>
    <t>PEDRI</t>
  </si>
  <si>
    <t>BALDE</t>
  </si>
  <si>
    <t>PINO</t>
  </si>
  <si>
    <t>GAVI</t>
  </si>
  <si>
    <t>YAMAL</t>
  </si>
  <si>
    <t>BALOGUN</t>
  </si>
  <si>
    <t>BENZEMA</t>
  </si>
  <si>
    <t>GRIEZMANN</t>
  </si>
  <si>
    <t>KANTÉ</t>
  </si>
  <si>
    <t>POGBA</t>
  </si>
  <si>
    <t>VARANE</t>
  </si>
  <si>
    <t>RABIOT</t>
  </si>
  <si>
    <t>COMAN</t>
  </si>
  <si>
    <t>UPAMECANO</t>
  </si>
  <si>
    <t>MBAPPÉ</t>
  </si>
  <si>
    <t>DEMBÉLÉ</t>
  </si>
  <si>
    <t>KONATÉ</t>
  </si>
  <si>
    <t>TCHOUAMÉNI</t>
  </si>
  <si>
    <t>CAMAVINGA</t>
  </si>
  <si>
    <t>CHERKI</t>
  </si>
  <si>
    <t>KVARATSKHELIA</t>
  </si>
  <si>
    <t>SZOBOSZLAI</t>
  </si>
  <si>
    <t>FERGUSON</t>
  </si>
  <si>
    <t>PIRLO</t>
  </si>
  <si>
    <t>CHIELLINI</t>
  </si>
  <si>
    <t>BONUCCI</t>
  </si>
  <si>
    <t>INSIGNE</t>
  </si>
  <si>
    <t>JORGINHO</t>
  </si>
  <si>
    <t>VERRATTI</t>
  </si>
  <si>
    <t>SPINAZZOLA</t>
  </si>
  <si>
    <t>BARELLA</t>
  </si>
  <si>
    <t>CHIESA</t>
  </si>
  <si>
    <t>ANTONIO</t>
  </si>
  <si>
    <t>MIRETTI</t>
  </si>
  <si>
    <t>SCALVINI</t>
  </si>
  <si>
    <t>ZIYECH</t>
  </si>
  <si>
    <t>HAKIMI</t>
  </si>
  <si>
    <t>OSIMHEN</t>
  </si>
  <si>
    <t>HAALAND</t>
  </si>
  <si>
    <t>BALE</t>
  </si>
  <si>
    <t>ROBBEN</t>
  </si>
  <si>
    <t>VAN DIJK</t>
  </si>
  <si>
    <t>DEPAY</t>
  </si>
  <si>
    <t>TIMBER</t>
  </si>
  <si>
    <t>ZIRKZEE</t>
  </si>
  <si>
    <t>GRAVENBERCH</t>
  </si>
  <si>
    <t>SIMONS</t>
  </si>
  <si>
    <t>LEWANDOWSKI</t>
  </si>
  <si>
    <t>BERNARDO</t>
  </si>
  <si>
    <t>FERNANDES</t>
  </si>
  <si>
    <t>DIAS</t>
  </si>
  <si>
    <t>FÁBIO VIEIRA</t>
  </si>
  <si>
    <t>LEAO</t>
  </si>
  <si>
    <t>NUNO</t>
  </si>
  <si>
    <t>VITINHA</t>
  </si>
  <si>
    <t>KOLAROV</t>
  </si>
  <si>
    <t>TADIC</t>
  </si>
  <si>
    <t>JOVIĆ</t>
  </si>
  <si>
    <t>IBRAHIMOVIĆ</t>
  </si>
  <si>
    <t>KULUSEVSKI</t>
  </si>
  <si>
    <t>MUDRYK</t>
  </si>
  <si>
    <t>SUÁREZ</t>
  </si>
  <si>
    <t>CAVANI</t>
  </si>
  <si>
    <t>VALVERDE</t>
  </si>
  <si>
    <t>UGARTE</t>
  </si>
  <si>
    <r>
      <rPr>
        <sz val="11"/>
        <color rgb="FFFF0000"/>
        <rFont val="Aptos Narrow"/>
        <scheme val="minor"/>
      </rPr>
      <t>"Tab5_JoueusesFoot"</t>
    </r>
    <r>
      <rPr>
        <sz val="11"/>
        <color theme="1"/>
        <rFont val="Aptos Narrow"/>
        <family val="2"/>
        <scheme val="minor"/>
      </rPr>
      <t xml:space="preserve">, NULL, </t>
    </r>
    <r>
      <rPr>
        <sz val="11"/>
        <color rgb="FFFF0000"/>
        <rFont val="Aptos Narrow"/>
        <scheme val="minor"/>
      </rPr>
      <t>"F"</t>
    </r>
    <r>
      <rPr>
        <sz val="11"/>
        <color theme="1"/>
        <rFont val="Aptos Narrow"/>
        <family val="2"/>
        <scheme val="minor"/>
      </rPr>
      <t>, INITCAP(EXTRACTFN(Name)), UPPER(EXTRACTLN(Name)), INITCAP(Position), UPPER(Nationality), EXTRACTY(DateOfBirth)</t>
    </r>
    <r>
      <rPr>
        <sz val="11"/>
        <color theme="1"/>
        <rFont val="Aptos Narrow"/>
        <scheme val="minor"/>
      </rPr>
      <t>,</t>
    </r>
  </si>
  <si>
    <r>
      <rPr>
        <sz val="11"/>
        <color rgb="FFFF0000"/>
        <rFont val="Aptos Narrow"/>
        <scheme val="minor"/>
      </rPr>
      <t>"Tab2_Goalkeeper"</t>
    </r>
    <r>
      <rPr>
        <sz val="11"/>
        <color theme="1"/>
        <rFont val="Aptos Narrow"/>
        <family val="2"/>
        <scheme val="minor"/>
      </rPr>
      <t xml:space="preserve">, ID, </t>
    </r>
    <r>
      <rPr>
        <sz val="11"/>
        <color rgb="FFFF0000"/>
        <rFont val="Aptos Narrow"/>
        <scheme val="minor"/>
      </rPr>
      <t>"M"</t>
    </r>
    <r>
      <rPr>
        <sz val="11"/>
        <color theme="1"/>
        <rFont val="Aptos Narrow"/>
        <family val="2"/>
        <scheme val="minor"/>
      </rPr>
      <t>, INITCAP(FirstName), UPPER(LastName), INITCAP(Position), UPPER(Country_Origin)</t>
    </r>
    <r>
      <rPr>
        <sz val="11"/>
        <color theme="1"/>
        <rFont val="Aptos Narrow"/>
        <scheme val="minor"/>
      </rPr>
      <t>,</t>
    </r>
  </si>
  <si>
    <t>South-Korea</t>
  </si>
  <si>
    <t>Ivory-Coast</t>
  </si>
  <si>
    <t>Pays-de-Galles</t>
  </si>
  <si>
    <t>ALGERIA</t>
  </si>
  <si>
    <t>AUSTRIA</t>
  </si>
  <si>
    <t>SOUTH-KOREA</t>
  </si>
  <si>
    <t>COSTA-RICA</t>
  </si>
  <si>
    <t>IVORY-COAST</t>
  </si>
  <si>
    <t>SCOTLAND</t>
  </si>
  <si>
    <t>EGYPT</t>
  </si>
  <si>
    <t>ECUADOR</t>
  </si>
  <si>
    <t>UNITED-STATES</t>
  </si>
  <si>
    <t>GEORGIA</t>
  </si>
  <si>
    <t>HUNGARY</t>
  </si>
  <si>
    <t>IRELAND</t>
  </si>
  <si>
    <t>MOROCCO</t>
  </si>
  <si>
    <t>SERBIA</t>
  </si>
  <si>
    <t>SWEDEN</t>
  </si>
  <si>
    <t>URUGUAY</t>
  </si>
  <si>
    <t>WALES</t>
  </si>
  <si>
    <t>Position_Arabic</t>
  </si>
  <si>
    <t>Ailier</t>
  </si>
  <si>
    <t>Gardienne</t>
  </si>
  <si>
    <t>Gardien de but</t>
  </si>
  <si>
    <t>Gardienne de but</t>
  </si>
  <si>
    <t>Position_English</t>
  </si>
  <si>
    <t>مهاجم</t>
  </si>
  <si>
    <t>لاعب وسط</t>
  </si>
  <si>
    <t>مدافع</t>
  </si>
  <si>
    <t>حارس مرمى</t>
  </si>
  <si>
    <t>حارسة مرمى</t>
  </si>
  <si>
    <t>F_G</t>
  </si>
  <si>
    <t>M_A</t>
  </si>
  <si>
    <t>M_M</t>
  </si>
  <si>
    <t>M_D</t>
  </si>
  <si>
    <t>M_G</t>
  </si>
  <si>
    <t>F_A</t>
  </si>
  <si>
    <t>F_M</t>
  </si>
  <si>
    <t>F_D</t>
  </si>
  <si>
    <r>
      <rPr>
        <sz val="11"/>
        <color rgb="FFFF0000"/>
        <rFont val="Aptos Narrow"/>
        <scheme val="minor"/>
      </rPr>
      <t>"Tab4_BlessuresJoueurs"</t>
    </r>
    <r>
      <rPr>
        <sz val="11"/>
        <color theme="1"/>
        <rFont val="Aptos Narrow"/>
        <family val="2"/>
        <scheme val="minor"/>
      </rPr>
      <t xml:space="preserve">, NULL, </t>
    </r>
    <r>
      <rPr>
        <sz val="11"/>
        <color rgb="FFFF0000"/>
        <rFont val="Aptos Narrow"/>
        <scheme val="minor"/>
      </rPr>
      <t>"M"</t>
    </r>
    <r>
      <rPr>
        <sz val="11"/>
        <color theme="1"/>
        <rFont val="Aptos Narrow"/>
        <family val="2"/>
        <scheme val="minor"/>
      </rPr>
      <t>, INITCAP(Prénom), UPPER(NOM), NULL, NULL, NULL, NULL</t>
    </r>
    <r>
      <rPr>
        <sz val="11"/>
        <color theme="1"/>
        <rFont val="Aptos Narrow"/>
        <scheme val="minor"/>
      </rPr>
      <t>,</t>
    </r>
  </si>
  <si>
    <t>NULL, NULL, INITCAP(Type2Blessure_Grave)</t>
  </si>
  <si>
    <r>
      <rPr>
        <sz val="11"/>
        <color rgb="FFFF0000"/>
        <rFont val="Aptos Narrow"/>
        <scheme val="minor"/>
      </rPr>
      <t>"Tab1_Joueurs"</t>
    </r>
    <r>
      <rPr>
        <sz val="11"/>
        <color theme="1"/>
        <rFont val="Aptos Narrow"/>
        <family val="2"/>
        <scheme val="minor"/>
      </rPr>
      <t xml:space="preserve">, ID, </t>
    </r>
    <r>
      <rPr>
        <sz val="11"/>
        <color rgb="FFFF0000"/>
        <rFont val="Aptos Narrow"/>
        <scheme val="minor"/>
      </rPr>
      <t>"M"</t>
    </r>
    <r>
      <rPr>
        <sz val="11"/>
        <color theme="1"/>
        <rFont val="Aptos Narrow"/>
        <family val="2"/>
        <scheme val="minor"/>
      </rPr>
      <t>, INITCAP(Prénom), UPPER(NOM), INITCAP(TRANSLATEPOSTE(Poste)), UPPER(TRANSLATECOUNTRY(PaysdOrigine), Année2Naissance</t>
    </r>
    <r>
      <rPr>
        <sz val="11"/>
        <color theme="1"/>
        <rFont val="Aptos Narrow"/>
        <scheme val="minor"/>
      </rPr>
      <t>,</t>
    </r>
  </si>
  <si>
    <t>Nombre de valeurs en UPPER uniquement</t>
  </si>
  <si>
    <t>Nombre de valeurs en LOWER uniquement</t>
  </si>
  <si>
    <t>Nombre de valeurs en INITCAP uniquement</t>
  </si>
  <si>
    <t>Nombre de valeurs en MIXTE</t>
  </si>
  <si>
    <t>Name1</t>
  </si>
  <si>
    <t>Name2</t>
  </si>
  <si>
    <t>ID ???</t>
  </si>
  <si>
    <t>', '</t>
  </si>
  <si>
    <t>M_X1</t>
  </si>
  <si>
    <t>F_X2</t>
  </si>
  <si>
    <t>BENTALEB</t>
  </si>
  <si>
    <t>BOTMAN</t>
  </si>
  <si>
    <t>BREMER</t>
  </si>
  <si>
    <t>BUAYI-KIALA</t>
  </si>
  <si>
    <t>CARBONI</t>
  </si>
  <si>
    <t>CARVAJAL</t>
  </si>
  <si>
    <t>CATALÁ</t>
  </si>
  <si>
    <t>CHÉRIF</t>
  </si>
  <si>
    <t>COULIBALY</t>
  </si>
  <si>
    <t>FERNANDEZ-PARDO</t>
  </si>
  <si>
    <t>FLORENZI</t>
  </si>
  <si>
    <t>GRAGERA</t>
  </si>
  <si>
    <t>HERNÁNDEZ</t>
  </si>
  <si>
    <t>ICARDI</t>
  </si>
  <si>
    <t>JESÚS</t>
  </si>
  <si>
    <t>KADEWERE</t>
  </si>
  <si>
    <t>KUZYAEV</t>
  </si>
  <si>
    <t>LABEAU LASCARY</t>
  </si>
  <si>
    <t>LOGBO</t>
  </si>
  <si>
    <t>MAÇON</t>
  </si>
  <si>
    <t>MAKSIMOVIĆ</t>
  </si>
  <si>
    <t>MILITÃO</t>
  </si>
  <si>
    <t>MINCARELLI</t>
  </si>
  <si>
    <t>MOFFI</t>
  </si>
  <si>
    <t>MOUEFFEK</t>
  </si>
  <si>
    <t>NGOSSO</t>
  </si>
  <si>
    <t>SAHI DION</t>
  </si>
  <si>
    <t>SANTOS</t>
  </si>
  <si>
    <t>SCAMACCA</t>
  </si>
  <si>
    <t>TOURÉ</t>
  </si>
  <si>
    <t>UMTITI</t>
  </si>
  <si>
    <t>ZAPATA</t>
  </si>
  <si>
    <t>États-Unis-d'Amérique</t>
  </si>
  <si>
    <t>United-States-of-America</t>
  </si>
  <si>
    <t>UNITED-STATES-OF-AMERICA</t>
  </si>
  <si>
    <t>Total général</t>
  </si>
  <si>
    <t>R1, R2, R3  : Nombre de joueuses/joueurs</t>
  </si>
  <si>
    <t>R4 : Nombre de joueuses/joueurs par pays</t>
  </si>
  <si>
    <t>Nombre</t>
  </si>
  <si>
    <t>CREATE TABLE PaysCountry (Code_Country VARCHAR2(5), Pays VARCHAR2(50), Country VARCHAR2(50), Country_Arabic VARCHAR2(50), CONSTRAINT PK_PaysCountry PRIMARY KEY (Code_Country));</t>
  </si>
  <si>
    <t>ZA</t>
  </si>
  <si>
    <t>Afrique-du-Sud</t>
  </si>
  <si>
    <t>South-Africa</t>
  </si>
  <si>
    <t>جنوب أفريقيا</t>
  </si>
  <si>
    <t>SA</t>
  </si>
  <si>
    <t>Arabie-saoudite</t>
  </si>
  <si>
    <t>Saudi-Arabia</t>
  </si>
  <si>
    <t>المملكة العربية السعودية</t>
  </si>
  <si>
    <t>AU</t>
  </si>
  <si>
    <t>Australie</t>
  </si>
  <si>
    <t>أستراليا</t>
  </si>
  <si>
    <t>CN</t>
  </si>
  <si>
    <t>Chine</t>
  </si>
  <si>
    <t>China</t>
  </si>
  <si>
    <t>الصين</t>
  </si>
  <si>
    <t>SCT</t>
  </si>
  <si>
    <t>US</t>
  </si>
  <si>
    <t>الولايات المتحدة الأمريكية</t>
  </si>
  <si>
    <t>IN</t>
  </si>
  <si>
    <t>Inde</t>
  </si>
  <si>
    <t>India</t>
  </si>
  <si>
    <t>الهند</t>
  </si>
  <si>
    <t>IL</t>
  </si>
  <si>
    <t>Israël</t>
  </si>
  <si>
    <t>Israel</t>
  </si>
  <si>
    <t>إسرائيل</t>
  </si>
  <si>
    <t>JO</t>
  </si>
  <si>
    <t>Jordanie</t>
  </si>
  <si>
    <t>الأردن</t>
  </si>
  <si>
    <t>WLS</t>
  </si>
  <si>
    <t>CZ</t>
  </si>
  <si>
    <t>République-tchèque</t>
  </si>
  <si>
    <t>Czech-Republic</t>
  </si>
  <si>
    <t>جمهورية التشيك</t>
  </si>
  <si>
    <t>UK</t>
  </si>
  <si>
    <t>Royaume-Uni</t>
  </si>
  <si>
    <t>United-Kingdom</t>
  </si>
  <si>
    <t>المملكة المتحدة</t>
  </si>
  <si>
    <t>CREATE TABLE PostePosition (ID VARCHAR2(5), Postes VARCHAR2(20), Position_English VARCHAR2(20), Position_Arabic VARCHAR2(20), CONSTRAINT PK_PostePosition PRIMARY KEY (ID));</t>
  </si>
  <si>
    <t>F_G1</t>
  </si>
  <si>
    <t>MFB Sport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</si>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</sst>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0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/>
    <xf numFmtId="0" fontId="0" fillId="0" borderId="1" xfId="0" applyBorder="1"/>
    <xf numFmtId="0" fontId="0" fillId="3" borderId="0" xfId="0" applyFill="1" applyAlignment="1">
      <alignment vertical="center" wrapText="1"/>
    </xf>
    <xf numFmtId="49" fontId="0" fillId="3" borderId="0" xfId="0" applyNumberFormat="1" applyFill="1"/>
    <xf numFmtId="0" fontId="0" fillId="5" borderId="0" xfId="0" applyFill="1" applyAlignment="1">
      <alignment vertical="center" wrapText="1"/>
    </xf>
    <xf numFmtId="49" fontId="0" fillId="5" borderId="0" xfId="0" applyNumberFormat="1" applyFill="1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4" borderId="1" xfId="0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14" fontId="0" fillId="0" borderId="0" xfId="0" applyNumberFormat="1"/>
    <xf numFmtId="0" fontId="1" fillId="6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1" fillId="5" borderId="1" xfId="0" applyFont="1" applyFill="1" applyBorder="1" applyAlignment="1">
      <alignment horizontal="center" vertical="center"/>
    </xf>
    <xf numFmtId="0" fontId="0" fillId="5" borderId="0" xfId="0" applyFill="1"/>
    <xf numFmtId="0" fontId="6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0" xfId="0" applyFill="1"/>
    <xf numFmtId="0" fontId="0" fillId="9" borderId="0" xfId="0" applyFill="1"/>
    <xf numFmtId="0" fontId="0" fillId="10" borderId="0" xfId="0" applyFill="1"/>
    <xf numFmtId="0" fontId="0" fillId="5" borderId="3" xfId="0" applyFill="1" applyBorder="1"/>
    <xf numFmtId="0" fontId="0" fillId="2" borderId="0" xfId="0" applyFill="1"/>
    <xf numFmtId="0" fontId="0" fillId="11" borderId="0" xfId="0" applyFill="1"/>
    <xf numFmtId="0" fontId="1" fillId="9" borderId="0" xfId="0" applyFont="1" applyFill="1"/>
    <xf numFmtId="0" fontId="1" fillId="2" borderId="3" xfId="0" quotePrefix="1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8" fillId="0" borderId="0" xfId="0" applyFont="1"/>
    <xf numFmtId="0" fontId="1" fillId="9" borderId="3" xfId="0" quotePrefix="1" applyFont="1" applyFill="1" applyBorder="1" applyAlignment="1">
      <alignment horizontal="center" vertical="center"/>
    </xf>
    <xf numFmtId="0" fontId="7" fillId="9" borderId="0" xfId="0" applyFont="1" applyFill="1"/>
    <xf numFmtId="0" fontId="0" fillId="10" borderId="1" xfId="0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[B_IntégrationDonnéesJouerFoot.xlsx]Stats_J!Tableau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joueurs(ses)</a:t>
            </a:r>
            <a:r>
              <a:rPr lang="fr-FR" baseline="0"/>
              <a:t> par genre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C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6.7397364099541029E-2"/>
              <c:y val="1.47055221602228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37778432776117"/>
              <c:y val="-0.336770187406749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Stats_J!$B$2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explosion val="18"/>
            <c:spPr>
              <a:solidFill>
                <a:srgbClr val="FFCC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5C9-415A-A200-CDF9AC2E3E4E}"/>
              </c:ext>
            </c:extLst>
          </c:dPt>
          <c:dPt>
            <c:idx val="1"/>
            <c:bubble3D val="0"/>
            <c:explosion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C9-415A-A200-CDF9AC2E3E4E}"/>
              </c:ext>
            </c:extLst>
          </c:dPt>
          <c:dLbls>
            <c:dLbl>
              <c:idx val="0"/>
              <c:layout>
                <c:manualLayout>
                  <c:x val="6.7397364099541029E-2"/>
                  <c:y val="1.470552216022285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C9-415A-A200-CDF9AC2E3E4E}"/>
                </c:ext>
              </c:extLst>
            </c:dLbl>
            <c:dLbl>
              <c:idx val="1"/>
              <c:layout>
                <c:manualLayout>
                  <c:x val="-0.1737778432776117"/>
                  <c:y val="-0.3367701874067494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C9-415A-A200-CDF9AC2E3E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Stats_J!$A$3:$A$5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Stats_J!$B$3:$B$5</c:f>
              <c:numCache>
                <c:formatCode>General</c:formatCode>
                <c:ptCount val="2"/>
                <c:pt idx="0">
                  <c:v>30</c:v>
                </c:pt>
                <c:pt idx="1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9-415A-A200-CDF9AC2E3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[B_IntégrationDonnéesJouerFoot.xlsx]Stats_J!Tableau croisé dynamique1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Nombre de joueurs(ses) par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CFF"/>
          </a:solidFill>
          <a:ln>
            <a:noFill/>
          </a:ln>
          <a:effectLst/>
          <a:sp3d/>
        </c:spPr>
        <c:dLbl>
          <c:idx val="0"/>
          <c:layout>
            <c:manualLayout>
              <c:x val="1.1111111111111059E-2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  <a:sp3d/>
        </c:spPr>
        <c:dLbl>
          <c:idx val="0"/>
          <c:layout>
            <c:manualLayout>
              <c:x val="3.0555555555555555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692038495188096E-2"/>
          <c:y val="0.25865522018081066"/>
          <c:w val="0.89030796150481195"/>
          <c:h val="0.5381142461358996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Stats_J!$B$2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CCFF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6E3B-4D2F-8653-A62503DDD33F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E3B-4D2F-8653-A62503DDD33F}"/>
              </c:ext>
            </c:extLst>
          </c:dPt>
          <c:dLbls>
            <c:dLbl>
              <c:idx val="0"/>
              <c:layout>
                <c:manualLayout>
                  <c:x val="1.1111111111111059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3B-4D2F-8653-A62503DDD33F}"/>
                </c:ext>
              </c:extLst>
            </c:dLbl>
            <c:dLbl>
              <c:idx val="1"/>
              <c:layout>
                <c:manualLayout>
                  <c:x val="3.0555555555555555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3B-4D2F-8653-A62503DDD3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Stats_J!$A$3:$A$5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Stats_J!$B$3:$B$5</c:f>
              <c:numCache>
                <c:formatCode>General</c:formatCode>
                <c:ptCount val="2"/>
                <c:pt idx="0">
                  <c:v>30</c:v>
                </c:pt>
                <c:pt idx="1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B-4D2F-8653-A62503DDD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3243520"/>
        <c:axId val="643233440"/>
        <c:axId val="0"/>
      </c:bar3DChart>
      <c:catAx>
        <c:axId val="64324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3233440"/>
        <c:crosses val="autoZero"/>
        <c:auto val="1"/>
        <c:lblAlgn val="ctr"/>
        <c:lblOffset val="100"/>
        <c:noMultiLvlLbl val="0"/>
      </c:catAx>
      <c:valAx>
        <c:axId val="6432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324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133351</xdr:rowOff>
    </xdr:from>
    <xdr:to>
      <xdr:col>7</xdr:col>
      <xdr:colOff>355600</xdr:colOff>
      <xdr:row>5</xdr:row>
      <xdr:rowOff>18787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5AE6F74-70C2-EC90-4260-8053E0E77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33351"/>
          <a:ext cx="6172200" cy="77443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330201</xdr:colOff>
      <xdr:row>5</xdr:row>
      <xdr:rowOff>139700</xdr:rowOff>
    </xdr:from>
    <xdr:to>
      <xdr:col>6</xdr:col>
      <xdr:colOff>222251</xdr:colOff>
      <xdr:row>10</xdr:row>
      <xdr:rowOff>46326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D0EDA5E-94DA-B780-C08F-F9F9D176D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201" y="1028700"/>
          <a:ext cx="5073650" cy="79562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190501</xdr:colOff>
      <xdr:row>11</xdr:row>
      <xdr:rowOff>127000</xdr:rowOff>
    </xdr:from>
    <xdr:to>
      <xdr:col>6</xdr:col>
      <xdr:colOff>469901</xdr:colOff>
      <xdr:row>17</xdr:row>
      <xdr:rowOff>163073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2F2F759-83B6-B0D7-F10C-B624C546C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1" y="2082800"/>
          <a:ext cx="5461000" cy="110287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120650</xdr:colOff>
      <xdr:row>10</xdr:row>
      <xdr:rowOff>62406</xdr:rowOff>
    </xdr:from>
    <xdr:to>
      <xdr:col>13</xdr:col>
      <xdr:colOff>444841</xdr:colOff>
      <xdr:row>17</xdr:row>
      <xdr:rowOff>44527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882F2D02-DACA-3E92-D023-E48D38357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0250" y="1840406"/>
          <a:ext cx="5454991" cy="1226721"/>
        </a:xfrm>
        <a:prstGeom prst="rect">
          <a:avLst/>
        </a:prstGeom>
      </xdr:spPr>
    </xdr:pic>
    <xdr:clientData/>
  </xdr:twoCellAnchor>
  <xdr:twoCellAnchor editAs="oneCell">
    <xdr:from>
      <xdr:col>2</xdr:col>
      <xdr:colOff>393700</xdr:colOff>
      <xdr:row>24</xdr:row>
      <xdr:rowOff>25400</xdr:rowOff>
    </xdr:from>
    <xdr:to>
      <xdr:col>6</xdr:col>
      <xdr:colOff>419100</xdr:colOff>
      <xdr:row>27</xdr:row>
      <xdr:rowOff>37686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1DEA0B1D-E5E6-4DBD-BE0D-3CC40C896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9300" y="4292600"/>
          <a:ext cx="3479800" cy="54568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323850</xdr:colOff>
      <xdr:row>31</xdr:row>
      <xdr:rowOff>50801</xdr:rowOff>
    </xdr:from>
    <xdr:to>
      <xdr:col>6</xdr:col>
      <xdr:colOff>222250</xdr:colOff>
      <xdr:row>35</xdr:row>
      <xdr:rowOff>16713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B54C1316-D44C-4C7B-9E9F-A8F51EE6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9450" y="5384801"/>
          <a:ext cx="3352800" cy="67711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431801</xdr:colOff>
      <xdr:row>46</xdr:row>
      <xdr:rowOff>95251</xdr:rowOff>
    </xdr:from>
    <xdr:to>
      <xdr:col>7</xdr:col>
      <xdr:colOff>660401</xdr:colOff>
      <xdr:row>51</xdr:row>
      <xdr:rowOff>34486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A286F1F-AECA-48BA-9776-00B2F7E7C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22601" y="8274051"/>
          <a:ext cx="3683000" cy="828235"/>
        </a:xfrm>
        <a:prstGeom prst="rect">
          <a:avLst/>
        </a:prstGeom>
      </xdr:spPr>
    </xdr:pic>
    <xdr:clientData/>
  </xdr:twoCellAnchor>
  <xdr:twoCellAnchor editAs="oneCell">
    <xdr:from>
      <xdr:col>3</xdr:col>
      <xdr:colOff>1954</xdr:colOff>
      <xdr:row>53</xdr:row>
      <xdr:rowOff>165100</xdr:rowOff>
    </xdr:from>
    <xdr:to>
      <xdr:col>9</xdr:col>
      <xdr:colOff>387349</xdr:colOff>
      <xdr:row>57</xdr:row>
      <xdr:rowOff>152400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9057FA87-FE84-4498-AF12-099D7C82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2754" y="9588500"/>
          <a:ext cx="5566995" cy="6985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501026</xdr:colOff>
      <xdr:row>2</xdr:row>
      <xdr:rowOff>76200</xdr:rowOff>
    </xdr:from>
    <xdr:to>
      <xdr:col>13</xdr:col>
      <xdr:colOff>400403</xdr:colOff>
      <xdr:row>7</xdr:row>
      <xdr:rowOff>152400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A1044A6B-BDB5-A915-8273-32841E51C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6226" y="431800"/>
          <a:ext cx="5030177" cy="9652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234950</xdr:colOff>
      <xdr:row>37</xdr:row>
      <xdr:rowOff>57150</xdr:rowOff>
    </xdr:from>
    <xdr:to>
      <xdr:col>9</xdr:col>
      <xdr:colOff>83527</xdr:colOff>
      <xdr:row>42</xdr:row>
      <xdr:rowOff>133350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F9FB0E91-FE38-428F-B483-9C0561822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25750" y="6635750"/>
          <a:ext cx="5030177" cy="9652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431800</xdr:colOff>
      <xdr:row>0</xdr:row>
      <xdr:rowOff>92075</xdr:rowOff>
    </xdr:from>
    <xdr:to>
      <xdr:col>8</xdr:col>
      <xdr:colOff>603250</xdr:colOff>
      <xdr:row>12</xdr:row>
      <xdr:rowOff>25400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4A8BFB3-2D24-FD1D-05B4-C29619627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631825</xdr:colOff>
      <xdr:row>0</xdr:row>
      <xdr:rowOff>85725</xdr:rowOff>
    </xdr:from>
    <xdr:to>
      <xdr:col>13</xdr:col>
      <xdr:colOff>457200</xdr:colOff>
      <xdr:row>12</xdr:row>
      <xdr:rowOff>31750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6489E3C-C867-7345-2A1B-BCF7EBE56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330200</xdr:colOff>
      <xdr:row>0</xdr:row>
      <xdr:rowOff>165100</xdr:rowOff>
    </xdr:from>
    <xdr:to>
      <xdr:col>13</xdr:col>
      <xdr:colOff>432158</xdr:colOff>
      <xdr:row>12</xdr:row>
      <xdr:rowOff>171564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1CB05F5-7EF3-87B1-2D01-564EF1F8B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165100"/>
          <a:ext cx="6959958" cy="221626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0</xdr:row>
      <xdr:rowOff>120650</xdr:rowOff>
    </xdr:from>
    <xdr:to>
      <xdr:col>8</xdr:col>
      <xdr:colOff>431800</xdr:colOff>
      <xdr:row>9</xdr:row>
      <xdr:rowOff>57150</xdr:rowOff>
    </xdr:to>
    <xdr:cxnSp macro="">
      <xdr:nvCxnSpPr>
        <xdr:cNvPr id="5" name="Connecteur : en angle 4">
          <a:extLst>
            <a:ext uri="{FF2B5EF4-FFF2-40B4-BE49-F238E27FC236}">
              <a16:creationId xmlns:a16="http://schemas.microsoft.com/office/drawing/2014/main" id="{8605B0C6-5782-084A-DC9D-4F278F74D86E}"/>
            </a:ext>
          </a:extLst>
        </xdr:cNvPr>
        <xdr:cNvCxnSpPr/>
      </xdr:nvCxnSpPr>
      <xdr:spPr>
        <a:xfrm>
          <a:off x="6521450" y="120650"/>
          <a:ext cx="1866900" cy="1536700"/>
        </a:xfrm>
        <a:prstGeom prst="bentConnector3">
          <a:avLst/>
        </a:prstGeom>
        <a:ln w="63500"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0</xdr:row>
      <xdr:rowOff>88900</xdr:rowOff>
    </xdr:from>
    <xdr:to>
      <xdr:col>8</xdr:col>
      <xdr:colOff>406400</xdr:colOff>
      <xdr:row>9</xdr:row>
      <xdr:rowOff>165100</xdr:rowOff>
    </xdr:to>
    <xdr:cxnSp macro="">
      <xdr:nvCxnSpPr>
        <xdr:cNvPr id="2" name="Connecteur : en angle 1">
          <a:extLst>
            <a:ext uri="{FF2B5EF4-FFF2-40B4-BE49-F238E27FC236}">
              <a16:creationId xmlns:a16="http://schemas.microsoft.com/office/drawing/2014/main" id="{55574862-1A7A-4594-8A83-39DCBD8A3A98}"/>
            </a:ext>
          </a:extLst>
        </xdr:cNvPr>
        <xdr:cNvCxnSpPr/>
      </xdr:nvCxnSpPr>
      <xdr:spPr>
        <a:xfrm>
          <a:off x="5372100" y="88900"/>
          <a:ext cx="2628900" cy="1676400"/>
        </a:xfrm>
        <a:prstGeom prst="bentConnector3">
          <a:avLst/>
        </a:prstGeom>
        <a:ln w="63500"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ouzi" refreshedDate="45703.578431481481" createdVersion="8" refreshedVersion="8" minRefreshableVersion="3" recordCount="233" xr:uid="{1EA6767C-4897-4BF8-8049-258AAF52EB22}">
  <cacheSource type="worksheet">
    <worksheetSource ref="A1:G234" sheet="BD-DWH (3)"/>
  </cacheSource>
  <cacheFields count="7">
    <cacheField name="ID_footballer" numFmtId="0">
      <sharedItems containsSemiMixedTypes="0" containsString="0" containsNumber="1" containsInteger="1" minValue="1" maxValue="233"/>
    </cacheField>
    <cacheField name="Gender" numFmtId="0">
      <sharedItems count="2">
        <s v="F"/>
        <s v="M"/>
      </sharedItems>
    </cacheField>
    <cacheField name="FirstName" numFmtId="0">
      <sharedItems/>
    </cacheField>
    <cacheField name="LastName" numFmtId="0">
      <sharedItems/>
    </cacheField>
    <cacheField name="Position" numFmtId="0">
      <sharedItems/>
    </cacheField>
    <cacheField name="CountryOfOrigin" numFmtId="0">
      <sharedItems count="43">
        <s v="UNITED-STATES-OF-AMERICA"/>
        <s v="CANADA"/>
        <s v="BRAZIL"/>
        <s v="FRANCE"/>
        <s v="JAPAN"/>
        <s v="ENGLAND"/>
        <s v="SPAIN"/>
        <s v="SOUTH-KOREA"/>
        <s v="DENMARK"/>
        <s v="GERMANY"/>
        <s v="AUSTRALIA"/>
        <s v="NETHERLANDS"/>
        <s v="NIGERIA"/>
        <s v="NORWAY"/>
        <s v="ARGENTINA"/>
        <s v="RUSSIA"/>
        <s v="ITALY"/>
        <s v="CAMEROON"/>
        <s v="SWEDEN"/>
        <s v="PORTUGAL"/>
        <s v="CROATIA"/>
        <s v="MEXICO"/>
        <s v="SERBIA"/>
        <s v="COSTA-RICA"/>
        <s v="URUGUAY"/>
        <s v="POLAND"/>
        <s v="SWITZERLAND"/>
        <s v="WALES"/>
        <s v="BELGIUM"/>
        <s v="ALGERIA"/>
        <s v="EGYPT"/>
        <s v="AUSTRIA"/>
        <s v="SLOVENIA"/>
        <s v="SCOTLAND"/>
        <s v="MOROCCO"/>
        <s v="GEORGIA"/>
        <s v="UKRAINE"/>
        <s v="HUNGARY"/>
        <s v="UNITED-STATES"/>
        <s v="IVORY-COAST"/>
        <s v="ECUADOR"/>
        <s v="IRELAND"/>
        <s v="NULL"/>
      </sharedItems>
    </cacheField>
    <cacheField name="YearOfBirth" numFmtId="0">
      <sharedItems containsMixedTypes="1" containsNumber="1" containsInteger="1" minValue="1926" maxValue="2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n v="1"/>
    <x v="0"/>
    <s v="Carli"/>
    <s v="LLOYD"/>
    <s v="Midfielder"/>
    <x v="0"/>
    <n v="1982"/>
  </r>
  <r>
    <n v="2"/>
    <x v="0"/>
    <s v="Christine"/>
    <s v="SINCLAIR"/>
    <s v="Forward"/>
    <x v="1"/>
    <n v="1983"/>
  </r>
  <r>
    <n v="3"/>
    <x v="0"/>
    <s v="Megan"/>
    <s v="RAPINOE"/>
    <s v="Winger"/>
    <x v="0"/>
    <n v="1985"/>
  </r>
  <r>
    <n v="4"/>
    <x v="0"/>
    <s v="Marta"/>
    <s v="VIEIRA-DA-SILVA"/>
    <s v="Forward"/>
    <x v="2"/>
    <n v="1986"/>
  </r>
  <r>
    <n v="5"/>
    <x v="0"/>
    <s v="Tobin"/>
    <s v="HEATH"/>
    <s v="Winger"/>
    <x v="0"/>
    <n v="1988"/>
  </r>
  <r>
    <n v="6"/>
    <x v="0"/>
    <s v="Amandine"/>
    <s v="HENRY"/>
    <s v="Midfielder"/>
    <x v="3"/>
    <n v="1989"/>
  </r>
  <r>
    <n v="7"/>
    <x v="0"/>
    <s v="Alex"/>
    <s v="MORGAN"/>
    <s v="Forward"/>
    <x v="0"/>
    <n v="1989"/>
  </r>
  <r>
    <n v="8"/>
    <x v="0"/>
    <s v="Saki"/>
    <s v="KUMAGAI"/>
    <s v="Defender"/>
    <x v="4"/>
    <n v="1990"/>
  </r>
  <r>
    <n v="9"/>
    <x v="0"/>
    <s v="Wendie"/>
    <s v="RENARD"/>
    <s v="Defender"/>
    <x v="3"/>
    <n v="1990"/>
  </r>
  <r>
    <n v="10"/>
    <x v="0"/>
    <s v="Lucy"/>
    <s v="BRONZE"/>
    <s v="Defender"/>
    <x v="5"/>
    <n v="1991"/>
  </r>
  <r>
    <n v="11"/>
    <x v="0"/>
    <s v="Irene"/>
    <s v="PAREDES"/>
    <s v="Defender"/>
    <x v="6"/>
    <n v="1991"/>
  </r>
  <r>
    <n v="12"/>
    <x v="0"/>
    <s v="Ji"/>
    <s v="SO-YUN"/>
    <s v="Midfielder"/>
    <x v="7"/>
    <n v="1991"/>
  </r>
  <r>
    <n v="13"/>
    <x v="0"/>
    <s v="Julie"/>
    <s v="ERTZ"/>
    <s v="Midfielder"/>
    <x v="0"/>
    <n v="1992"/>
  </r>
  <r>
    <n v="14"/>
    <x v="0"/>
    <s v="Pernille"/>
    <s v="HARDER"/>
    <s v="Forward"/>
    <x v="8"/>
    <n v="1992"/>
  </r>
  <r>
    <n v="15"/>
    <x v="0"/>
    <s v="Dzsenifer"/>
    <s v="MAROZSÁN"/>
    <s v="Midfielder"/>
    <x v="9"/>
    <n v="1992"/>
  </r>
  <r>
    <n v="16"/>
    <x v="0"/>
    <s v="Sam"/>
    <s v="MEWIS"/>
    <s v="Midfielder"/>
    <x v="0"/>
    <n v="1992"/>
  </r>
  <r>
    <n v="17"/>
    <x v="0"/>
    <s v="Sam"/>
    <s v="KERR"/>
    <s v="Forward"/>
    <x v="10"/>
    <n v="1993"/>
  </r>
  <r>
    <n v="18"/>
    <x v="0"/>
    <s v="Fran"/>
    <s v="KIRBY"/>
    <s v="Midfielder"/>
    <x v="5"/>
    <n v="1993"/>
  </r>
  <r>
    <n v="19"/>
    <x v="0"/>
    <s v="Lieke"/>
    <s v="MARTENS"/>
    <s v="Midfielder"/>
    <x v="11"/>
    <n v="1993"/>
  </r>
  <r>
    <n v="20"/>
    <x v="0"/>
    <s v="Asisat"/>
    <s v="OSHOALA"/>
    <s v="Forward"/>
    <x v="12"/>
    <n v="1994"/>
  </r>
  <r>
    <n v="21"/>
    <x v="0"/>
    <s v="Alexia"/>
    <s v="PUTELLAS"/>
    <s v="Midfielder"/>
    <x v="6"/>
    <n v="1994"/>
  </r>
  <r>
    <n v="22"/>
    <x v="0"/>
    <s v="Kadeisha"/>
    <s v="BUCHANAN"/>
    <s v="Defender"/>
    <x v="1"/>
    <n v="1995"/>
  </r>
  <r>
    <n v="23"/>
    <x v="0"/>
    <s v="Ada"/>
    <s v="HEGERBERG"/>
    <s v="Forward"/>
    <x v="13"/>
    <n v="1995"/>
  </r>
  <r>
    <n v="24"/>
    <x v="0"/>
    <s v="Rose"/>
    <s v="LAVELLE"/>
    <s v="Midfielder"/>
    <x v="0"/>
    <n v="1995"/>
  </r>
  <r>
    <n v="25"/>
    <x v="0"/>
    <s v="Beth"/>
    <s v="MEAD"/>
    <s v="Winger"/>
    <x v="5"/>
    <n v="1995"/>
  </r>
  <r>
    <n v="26"/>
    <x v="0"/>
    <s v="Vivianne"/>
    <s v="MIEDEMA"/>
    <s v="Forward"/>
    <x v="11"/>
    <n v="1996"/>
  </r>
  <r>
    <n v="27"/>
    <x v="0"/>
    <s v="Delphine"/>
    <s v="CASCARINO"/>
    <s v="Winger"/>
    <x v="3"/>
    <n v="1997"/>
  </r>
  <r>
    <n v="28"/>
    <x v="0"/>
    <s v="Leah"/>
    <s v="WILLIAMSON"/>
    <s v="Defender"/>
    <x v="5"/>
    <n v="1997"/>
  </r>
  <r>
    <n v="29"/>
    <x v="0"/>
    <s v="Patri"/>
    <s v="GUIJARRO"/>
    <s v="Midfielder"/>
    <x v="6"/>
    <n v="1998"/>
  </r>
  <r>
    <n v="30"/>
    <x v="0"/>
    <s v="Marie-Antoinette"/>
    <s v="KATOTO"/>
    <s v="Forward"/>
    <x v="3"/>
    <n v="1998"/>
  </r>
  <r>
    <n v="31"/>
    <x v="1"/>
    <s v="Alfredo"/>
    <s v="DI STÉFANO"/>
    <s v="Forward"/>
    <x v="14"/>
    <n v="1926"/>
  </r>
  <r>
    <n v="32"/>
    <x v="1"/>
    <s v="Lev"/>
    <s v="YASHIN"/>
    <s v="Goalkeeper"/>
    <x v="15"/>
    <n v="1929"/>
  </r>
  <r>
    <n v="33"/>
    <x v="1"/>
    <s v="Gordon"/>
    <s v="BANKS"/>
    <s v="Goalkeeper"/>
    <x v="5"/>
    <n v="1937"/>
  </r>
  <r>
    <n v="34"/>
    <x v="1"/>
    <s v="Edson"/>
    <s v="PELÉ"/>
    <s v="Forward"/>
    <x v="2"/>
    <n v="1940"/>
  </r>
  <r>
    <n v="35"/>
    <x v="1"/>
    <s v="Dino"/>
    <s v="ZOFF"/>
    <s v="Goalkeeper"/>
    <x v="16"/>
    <n v="1942"/>
  </r>
  <r>
    <n v="36"/>
    <x v="1"/>
    <s v="Franz"/>
    <s v="BECKENBAUER"/>
    <s v="Defender"/>
    <x v="9"/>
    <n v="1945"/>
  </r>
  <r>
    <n v="37"/>
    <x v="1"/>
    <s v="Johan"/>
    <s v="CRUYFF"/>
    <s v="Midfielder"/>
    <x v="11"/>
    <n v="1947"/>
  </r>
  <r>
    <n v="38"/>
    <x v="1"/>
    <s v="Luis"/>
    <s v="ARCONADA"/>
    <s v="Goalkeeper"/>
    <x v="6"/>
    <n v="1954"/>
  </r>
  <r>
    <n v="39"/>
    <x v="1"/>
    <s v="Michel"/>
    <s v="PLATINI"/>
    <s v="Midfielder"/>
    <x v="3"/>
    <n v="1955"/>
  </r>
  <r>
    <n v="40"/>
    <x v="1"/>
    <s v="Diego"/>
    <s v="MARADONA"/>
    <s v="Forward"/>
    <x v="14"/>
    <n v="1960"/>
  </r>
  <r>
    <n v="41"/>
    <x v="1"/>
    <s v="Peter"/>
    <s v="SCHMEICHEL"/>
    <s v="Goalkeeper"/>
    <x v="8"/>
    <n v="1963"/>
  </r>
  <r>
    <n v="42"/>
    <x v="1"/>
    <s v="Cláudio"/>
    <s v="TAFFAREL"/>
    <s v="Goalkeeper"/>
    <x v="2"/>
    <n v="1966"/>
  </r>
  <r>
    <n v="43"/>
    <x v="1"/>
    <s v="Oliver"/>
    <s v="KAHN"/>
    <s v="Goalkeeper"/>
    <x v="9"/>
    <n v="1969"/>
  </r>
  <r>
    <n v="44"/>
    <x v="1"/>
    <s v="Zinedine"/>
    <s v="ZIDANE"/>
    <s v="Midfielder"/>
    <x v="3"/>
    <n v="1972"/>
  </r>
  <r>
    <n v="45"/>
    <x v="1"/>
    <s v="Nazário"/>
    <s v="RONALDO"/>
    <s v="Forward"/>
    <x v="2"/>
    <n v="1976"/>
  </r>
  <r>
    <n v="46"/>
    <x v="1"/>
    <s v="Gianluigi"/>
    <s v="BUFFON"/>
    <s v="Goalkeeper"/>
    <x v="16"/>
    <n v="1978"/>
  </r>
  <r>
    <n v="47"/>
    <x v="1"/>
    <s v="Frank"/>
    <s v="LAMPARD"/>
    <s v="Midfielder"/>
    <x v="5"/>
    <n v="1978"/>
  </r>
  <r>
    <n v="48"/>
    <x v="1"/>
    <s v="Steven"/>
    <s v="GERRARD"/>
    <s v="Midfielder"/>
    <x v="5"/>
    <n v="1980"/>
  </r>
  <r>
    <n v="49"/>
    <x v="1"/>
    <s v="Andrea"/>
    <s v="PIRLO"/>
    <s v="Midfielder"/>
    <x v="16"/>
    <n v="1980"/>
  </r>
  <r>
    <n v="50"/>
    <x v="1"/>
    <s v="Iker"/>
    <s v="CASILLAS"/>
    <s v="Goalkeeper"/>
    <x v="6"/>
    <n v="1981"/>
  </r>
  <r>
    <n v="51"/>
    <x v="1"/>
    <s v="Xavier"/>
    <s v="XAVI"/>
    <s v="Midfielder"/>
    <x v="6"/>
    <n v="1981"/>
  </r>
  <r>
    <n v="52"/>
    <x v="1"/>
    <s v="Samuel"/>
    <s v="ETO'O"/>
    <s v="Forward"/>
    <x v="17"/>
    <n v="1982"/>
  </r>
  <r>
    <n v="53"/>
    <x v="1"/>
    <s v="Zlatan"/>
    <s v="IBRAHIMOVIĆ"/>
    <s v="Forward"/>
    <x v="18"/>
    <n v="1982"/>
  </r>
  <r>
    <n v="54"/>
    <x v="1"/>
    <s v="Andrés"/>
    <s v="INIESTA"/>
    <s v="Midfielder"/>
    <x v="6"/>
    <n v="1984"/>
  </r>
  <r>
    <n v="55"/>
    <x v="1"/>
    <s v="Silva"/>
    <s v="THIAGO"/>
    <s v="Defender"/>
    <x v="2"/>
    <n v="1984"/>
  </r>
  <r>
    <n v="56"/>
    <x v="1"/>
    <s v="Giorgio"/>
    <s v="CHIELLINI"/>
    <s v="Defender"/>
    <x v="16"/>
    <n v="1985"/>
  </r>
  <r>
    <n v="57"/>
    <x v="1"/>
    <s v="Arjen"/>
    <s v="ROBBEN"/>
    <s v="Forward"/>
    <x v="11"/>
    <n v="1985"/>
  </r>
  <r>
    <n v="58"/>
    <x v="1"/>
    <s v="Cristiano"/>
    <s v="RONALDO"/>
    <s v="Forward"/>
    <x v="19"/>
    <n v="1985"/>
  </r>
  <r>
    <n v="59"/>
    <x v="1"/>
    <s v="Luka"/>
    <s v="MODRIĆ"/>
    <s v="Midfielder"/>
    <x v="20"/>
    <n v="1986"/>
  </r>
  <r>
    <n v="60"/>
    <x v="1"/>
    <s v="Manuel"/>
    <s v="NEUER"/>
    <s v="Goalkeeper"/>
    <x v="9"/>
    <n v="1986"/>
  </r>
  <r>
    <n v="61"/>
    <x v="1"/>
    <s v="Guillermo"/>
    <s v="OCHOA"/>
    <s v="Goalkeeper"/>
    <x v="21"/>
    <n v="1986"/>
  </r>
  <r>
    <n v="62"/>
    <x v="1"/>
    <s v="Sergio"/>
    <s v="RAMOS"/>
    <s v="Defender"/>
    <x v="6"/>
    <n v="1986"/>
  </r>
  <r>
    <n v="63"/>
    <x v="1"/>
    <s v="Leonardo"/>
    <s v="BONUCCI"/>
    <s v="Defender"/>
    <x v="16"/>
    <n v="1987"/>
  </r>
  <r>
    <n v="64"/>
    <x v="1"/>
    <s v="Aleksandar"/>
    <s v="KOLAROV"/>
    <s v="Defender"/>
    <x v="22"/>
    <n v="1987"/>
  </r>
  <r>
    <n v="65"/>
    <x v="1"/>
    <s v="Hugo"/>
    <s v="LLORIS"/>
    <s v="Goalkeeper"/>
    <x v="3"/>
    <n v="1987"/>
  </r>
  <r>
    <n v="66"/>
    <x v="1"/>
    <s v="Lionel"/>
    <s v="MESSI"/>
    <s v="Forward"/>
    <x v="14"/>
    <n v="1987"/>
  </r>
  <r>
    <n v="67"/>
    <x v="1"/>
    <s v="Keylor"/>
    <s v="NAVAS"/>
    <s v="Goalkeeper"/>
    <x v="23"/>
    <n v="1987"/>
  </r>
  <r>
    <n v="68"/>
    <x v="1"/>
    <s v="Gerard"/>
    <s v="PIQUÉ"/>
    <s v="Defender"/>
    <x v="6"/>
    <n v="1987"/>
  </r>
  <r>
    <n v="69"/>
    <x v="1"/>
    <s v="Luis"/>
    <s v="SUÁREZ"/>
    <s v="Forward"/>
    <x v="24"/>
    <n v="1987"/>
  </r>
  <r>
    <n v="70"/>
    <x v="1"/>
    <s v="Karim"/>
    <s v="BENZEMA"/>
    <s v="Forward"/>
    <x v="3"/>
    <n v="1988"/>
  </r>
  <r>
    <n v="71"/>
    <x v="1"/>
    <s v="Sergio"/>
    <s v="BUSQUETS"/>
    <s v="Midfielder"/>
    <x v="6"/>
    <n v="1988"/>
  </r>
  <r>
    <n v="72"/>
    <x v="1"/>
    <s v="Edinson"/>
    <s v="CAVANI"/>
    <s v="Forward"/>
    <x v="24"/>
    <n v="1988"/>
  </r>
  <r>
    <n v="73"/>
    <x v="1"/>
    <s v="Ãngel"/>
    <s v="DI MARIA"/>
    <s v="Midfielder"/>
    <x v="14"/>
    <n v="1988"/>
  </r>
  <r>
    <n v="74"/>
    <x v="1"/>
    <s v="Robert"/>
    <s v="LEWANDOWSKI"/>
    <s v="Forward"/>
    <x v="25"/>
    <n v="1988"/>
  </r>
  <r>
    <n v="75"/>
    <x v="1"/>
    <s v="Jordi"/>
    <s v="ALBA"/>
    <s v="Defender"/>
    <x v="6"/>
    <n v="1989"/>
  </r>
  <r>
    <n v="76"/>
    <x v="1"/>
    <s v="Thomas"/>
    <s v="MÜLLER"/>
    <s v="Midfielder"/>
    <x v="9"/>
    <n v="1989"/>
  </r>
  <r>
    <n v="77"/>
    <x v="1"/>
    <s v="Mesut"/>
    <s v="ÖZIL"/>
    <s v="Midfielder"/>
    <x v="9"/>
    <n v="1989"/>
  </r>
  <r>
    <n v="78"/>
    <x v="1"/>
    <s v="Marco"/>
    <s v="REUS"/>
    <s v="Forward"/>
    <x v="9"/>
    <n v="1989"/>
  </r>
  <r>
    <n v="79"/>
    <x v="1"/>
    <s v="Yann"/>
    <s v="SOMMER"/>
    <s v="Goalkeeper"/>
    <x v="26"/>
    <n v="1989"/>
  </r>
  <r>
    <n v="80"/>
    <x v="1"/>
    <s v="Dusan"/>
    <s v="TADIC"/>
    <s v="Midfielder"/>
    <x v="22"/>
    <n v="1989"/>
  </r>
  <r>
    <n v="81"/>
    <x v="1"/>
    <s v="Gareth"/>
    <s v="BALE"/>
    <s v="Forward"/>
    <x v="27"/>
    <n v="1990"/>
  </r>
  <r>
    <n v="82"/>
    <x v="1"/>
    <s v="Lorenzo"/>
    <s v="INSIGNE"/>
    <s v="Forward"/>
    <x v="16"/>
    <n v="1990"/>
  </r>
  <r>
    <n v="83"/>
    <x v="1"/>
    <s v="Toni"/>
    <s v="KROOS"/>
    <s v="Midfielder"/>
    <x v="9"/>
    <n v="1990"/>
  </r>
  <r>
    <n v="84"/>
    <x v="1"/>
    <s v="Kevin"/>
    <s v="DE BRUYNE"/>
    <s v="Midfielder"/>
    <x v="28"/>
    <n v="1991"/>
  </r>
  <r>
    <n v="85"/>
    <x v="1"/>
    <s v="Antoine"/>
    <s v="GRIEZMANN"/>
    <s v="Forward"/>
    <x v="3"/>
    <n v="1991"/>
  </r>
  <r>
    <n v="86"/>
    <x v="1"/>
    <s v="Ilkay"/>
    <s v="GÜNDOĞAN"/>
    <s v="Midfielder"/>
    <x v="9"/>
    <n v="1991"/>
  </r>
  <r>
    <n v="87"/>
    <x v="1"/>
    <s v="N'Golo"/>
    <s v="KANTÉ"/>
    <s v="Midfielder"/>
    <x v="3"/>
    <n v="1991"/>
  </r>
  <r>
    <n v="88"/>
    <x v="1"/>
    <s v="Riyad"/>
    <s v="MAHREZ"/>
    <s v="Midfielder"/>
    <x v="29"/>
    <n v="1991"/>
  </r>
  <r>
    <n v="89"/>
    <x v="1"/>
    <s v="Wojciech"/>
    <s v="SZCZĘSNY"/>
    <s v="Goalkeeper"/>
    <x v="25"/>
    <n v="1991"/>
  </r>
  <r>
    <n v="90"/>
    <x v="1"/>
    <s v="Virgil"/>
    <s v="VAN DIJK"/>
    <s v="Defender"/>
    <x v="11"/>
    <n v="1991"/>
  </r>
  <r>
    <n v="91"/>
    <x v="1"/>
    <s v="Becker"/>
    <s v="ALISSON"/>
    <s v="Goalkeeper"/>
    <x v="2"/>
    <n v="1992"/>
  </r>
  <r>
    <n v="92"/>
    <x v="1"/>
    <s v="Carlos"/>
    <s v="CASEMIRO"/>
    <s v="Midfielder"/>
    <x v="2"/>
    <n v="1992"/>
  </r>
  <r>
    <n v="93"/>
    <x v="1"/>
    <s v="Thibaut"/>
    <s v="COURTOIS"/>
    <s v="Goalkeeper"/>
    <x v="28"/>
    <n v="1992"/>
  </r>
  <r>
    <n v="94"/>
    <x v="1"/>
    <s v="Jorge"/>
    <s v="JORGINHO"/>
    <s v="Midfielder"/>
    <x v="16"/>
    <n v="1992"/>
  </r>
  <r>
    <n v="95"/>
    <x v="1"/>
    <s v="Junior"/>
    <s v="NEYMAR"/>
    <s v="Forward"/>
    <x v="2"/>
    <n v="1992"/>
  </r>
  <r>
    <n v="96"/>
    <x v="1"/>
    <s v="Nick"/>
    <s v="POPE"/>
    <s v="Goalkeeper"/>
    <x v="5"/>
    <n v="1992"/>
  </r>
  <r>
    <n v="97"/>
    <x v="1"/>
    <s v="Mohamed"/>
    <s v="SALAH"/>
    <s v="Forward"/>
    <x v="30"/>
    <n v="1992"/>
  </r>
  <r>
    <n v="98"/>
    <x v="1"/>
    <s v="Heung-min"/>
    <s v="SON"/>
    <s v="Forward"/>
    <x v="7"/>
    <n v="1992"/>
  </r>
  <r>
    <n v="99"/>
    <x v="1"/>
    <s v="David"/>
    <s v="ALABA"/>
    <s v="Defender"/>
    <x v="31"/>
    <n v="1993"/>
  </r>
  <r>
    <n v="100"/>
    <x v="1"/>
    <s v="Fabio"/>
    <s v="FABINHO"/>
    <s v="Midfielder"/>
    <x v="2"/>
    <n v="1993"/>
  </r>
  <r>
    <n v="101"/>
    <x v="1"/>
    <s v="Harry"/>
    <s v="KANE"/>
    <s v="Forward"/>
    <x v="5"/>
    <n v="1993"/>
  </r>
  <r>
    <n v="102"/>
    <x v="1"/>
    <s v="Romelu"/>
    <s v="LUKAKU"/>
    <s v="Forward"/>
    <x v="28"/>
    <n v="1993"/>
  </r>
  <r>
    <n v="103"/>
    <x v="1"/>
    <s v="Emiliano"/>
    <s v="MARTÍNEZ"/>
    <s v="Goalkeeper"/>
    <x v="14"/>
    <n v="1993"/>
  </r>
  <r>
    <n v="104"/>
    <x v="1"/>
    <s v="Jan"/>
    <s v="OBLAK"/>
    <s v="Goalkeeper"/>
    <x v="32"/>
    <n v="1993"/>
  </r>
  <r>
    <n v="105"/>
    <x v="1"/>
    <s v="Paul"/>
    <s v="POGBA"/>
    <s v="Midfielder"/>
    <x v="3"/>
    <n v="1993"/>
  </r>
  <r>
    <n v="106"/>
    <x v="1"/>
    <s v="Marc-André"/>
    <s v="TER STEGEN"/>
    <s v="Goalkeeper"/>
    <x v="9"/>
    <n v="1993"/>
  </r>
  <r>
    <n v="107"/>
    <x v="1"/>
    <s v="Raphaël"/>
    <s v="VARANE"/>
    <s v="Defender"/>
    <x v="3"/>
    <n v="1993"/>
  </r>
  <r>
    <n v="108"/>
    <x v="1"/>
    <s v="Marco"/>
    <s v="VERRATTI"/>
    <s v="Midfielder"/>
    <x v="16"/>
    <n v="1993"/>
  </r>
  <r>
    <n v="109"/>
    <x v="1"/>
    <s v="Silva"/>
    <s v="BERNARDO"/>
    <s v="Midfielder"/>
    <x v="19"/>
    <n v="1994"/>
  </r>
  <r>
    <n v="110"/>
    <x v="1"/>
    <s v="Memphis"/>
    <s v="DEPAY"/>
    <s v="Forward"/>
    <x v="11"/>
    <n v="1994"/>
  </r>
  <r>
    <n v="111"/>
    <x v="1"/>
    <s v="Paulo"/>
    <s v="DYBALA"/>
    <s v="Forward"/>
    <x v="14"/>
    <n v="1994"/>
  </r>
  <r>
    <n v="112"/>
    <x v="1"/>
    <s v="Moraes"/>
    <s v="EDERSON"/>
    <s v="Goalkeeper"/>
    <x v="2"/>
    <n v="1994"/>
  </r>
  <r>
    <n v="113"/>
    <x v="1"/>
    <s v="Aymeric"/>
    <s v="LAPORTE"/>
    <s v="Defender"/>
    <x v="6"/>
    <n v="1994"/>
  </r>
  <r>
    <n v="114"/>
    <x v="1"/>
    <s v="Jordan"/>
    <s v="PICKFORD"/>
    <s v="Goalkeeper"/>
    <x v="5"/>
    <n v="1994"/>
  </r>
  <r>
    <n v="115"/>
    <x v="1"/>
    <s v="Andrew"/>
    <s v="ROBERTSON"/>
    <s v="Defender"/>
    <x v="33"/>
    <n v="1994"/>
  </r>
  <r>
    <n v="116"/>
    <x v="1"/>
    <s v="Leonardo"/>
    <s v="SPINAZZOLA"/>
    <s v="Defender"/>
    <x v="16"/>
    <n v="1994"/>
  </r>
  <r>
    <n v="117"/>
    <x v="1"/>
    <s v="Hakim"/>
    <s v="ZIYECH"/>
    <s v="Midfielder"/>
    <x v="34"/>
    <n v="1994"/>
  </r>
  <r>
    <n v="118"/>
    <x v="1"/>
    <s v="Bruno"/>
    <s v="FERNANDES"/>
    <s v="Midfielder"/>
    <x v="19"/>
    <n v="1995"/>
  </r>
  <r>
    <n v="119"/>
    <x v="1"/>
    <s v="Luka"/>
    <s v="JOVIĆ"/>
    <s v="Forward"/>
    <x v="22"/>
    <n v="1995"/>
  </r>
  <r>
    <n v="120"/>
    <x v="1"/>
    <s v="Joshua"/>
    <s v="KIMMICH"/>
    <s v="Midfielder"/>
    <x v="9"/>
    <n v="1995"/>
  </r>
  <r>
    <n v="121"/>
    <x v="1"/>
    <s v="Dominik"/>
    <s v="LIVAKOVIĆ"/>
    <s v="Goalkeeper"/>
    <x v="20"/>
    <n v="1995"/>
  </r>
  <r>
    <n v="122"/>
    <x v="1"/>
    <s v="Marcos"/>
    <s v="MARQUINHOS"/>
    <s v="Defender"/>
    <x v="2"/>
    <n v="1995"/>
  </r>
  <r>
    <n v="123"/>
    <x v="1"/>
    <s v="Adrien"/>
    <s v="RABIOT"/>
    <s v="Midfielder"/>
    <x v="3"/>
    <n v="1995"/>
  </r>
  <r>
    <n v="124"/>
    <x v="1"/>
    <s v="Raheem"/>
    <s v="STERLING"/>
    <s v="Forward"/>
    <x v="5"/>
    <n v="1995"/>
  </r>
  <r>
    <n v="125"/>
    <x v="1"/>
    <s v="Mike"/>
    <s v="MAIGNAN"/>
    <s v="Goalkeeper"/>
    <x v="3"/>
    <n v="1996"/>
  </r>
  <r>
    <n v="126"/>
    <x v="1"/>
    <s v="André"/>
    <s v="ONANA"/>
    <s v="Goalkeeper"/>
    <x v="17"/>
    <n v="1996"/>
  </r>
  <r>
    <n v="127"/>
    <x v="1"/>
    <s v="Hernández"/>
    <s v="RODRI"/>
    <s v="Midfielder"/>
    <x v="6"/>
    <n v="1996"/>
  </r>
  <r>
    <n v="128"/>
    <x v="1"/>
    <s v="Leroy"/>
    <s v="SANÉ"/>
    <s v="Forward"/>
    <x v="9"/>
    <n v="1996"/>
  </r>
  <r>
    <n v="129"/>
    <x v="1"/>
    <s v="Nicolò"/>
    <s v="BARELLA"/>
    <s v="Midfielder"/>
    <x v="16"/>
    <n v="1997"/>
  </r>
  <r>
    <n v="130"/>
    <x v="1"/>
    <s v="Kingsley"/>
    <s v="COMAN"/>
    <s v="Forward"/>
    <x v="3"/>
    <n v="1997"/>
  </r>
  <r>
    <n v="131"/>
    <x v="1"/>
    <s v="Rúben"/>
    <s v="DIAS"/>
    <s v="Defender"/>
    <x v="19"/>
    <n v="1997"/>
  </r>
  <r>
    <n v="132"/>
    <x v="1"/>
    <s v="Fábio"/>
    <s v="FÁBIO VIEIRA"/>
    <s v="Forward"/>
    <x v="19"/>
    <n v="1997"/>
  </r>
  <r>
    <n v="133"/>
    <x v="1"/>
    <s v="Serge"/>
    <s v="GNABRY"/>
    <s v="Forward"/>
    <x v="9"/>
    <n v="1997"/>
  </r>
  <r>
    <n v="134"/>
    <x v="1"/>
    <s v="Gabriel"/>
    <s v="JESÚS"/>
    <s v="Forward"/>
    <x v="2"/>
    <n v="1997"/>
  </r>
  <r>
    <n v="135"/>
    <x v="1"/>
    <s v="Marcus"/>
    <s v="RASHFORD"/>
    <s v="Forward"/>
    <x v="5"/>
    <n v="1997"/>
  </r>
  <r>
    <n v="136"/>
    <x v="1"/>
    <s v="Federico"/>
    <s v="CHIESA"/>
    <s v="Forward"/>
    <x v="16"/>
    <n v="1998"/>
  </r>
  <r>
    <n v="137"/>
    <x v="1"/>
    <s v="Martínez"/>
    <s v="LAUTARO"/>
    <s v="Forward"/>
    <x v="14"/>
    <n v="1998"/>
  </r>
  <r>
    <n v="138"/>
    <x v="1"/>
    <s v="Lautaro"/>
    <s v="MARTÍNEZ"/>
    <s v="Forward"/>
    <x v="14"/>
    <n v="1998"/>
  </r>
  <r>
    <n v="139"/>
    <x v="1"/>
    <s v="Richarlison"/>
    <s v="RICHARLISON"/>
    <s v="Forward"/>
    <x v="2"/>
    <n v="1998"/>
  </r>
  <r>
    <n v="140"/>
    <x v="1"/>
    <s v="Dayot"/>
    <s v="UPAMECANO"/>
    <s v="Defender"/>
    <x v="3"/>
    <n v="1998"/>
  </r>
  <r>
    <n v="141"/>
    <x v="1"/>
    <s v="Federico"/>
    <s v="VALVERDE"/>
    <s v="Midfielder"/>
    <x v="24"/>
    <n v="1998"/>
  </r>
  <r>
    <n v="142"/>
    <x v="1"/>
    <s v="Trent"/>
    <s v="ALEXANDER-ARNOLD"/>
    <s v="Defender"/>
    <x v="5"/>
    <n v="1999"/>
  </r>
  <r>
    <n v="143"/>
    <x v="1"/>
    <s v="Gianluigi"/>
    <s v="DONNARUMMA"/>
    <s v="Goalkeeper"/>
    <x v="16"/>
    <n v="1999"/>
  </r>
  <r>
    <n v="144"/>
    <x v="1"/>
    <s v="Achraf"/>
    <s v="HAKIMI"/>
    <s v="Defender"/>
    <x v="34"/>
    <n v="1999"/>
  </r>
  <r>
    <n v="145"/>
    <x v="1"/>
    <s v="Dejan"/>
    <s v="KULUSEVSKI"/>
    <s v="Forward"/>
    <x v="18"/>
    <n v="1999"/>
  </r>
  <r>
    <n v="146"/>
    <x v="1"/>
    <s v="Kylian"/>
    <s v="MBAPPÉ"/>
    <s v="Forward"/>
    <x v="3"/>
    <n v="1999"/>
  </r>
  <r>
    <n v="147"/>
    <x v="1"/>
    <s v="Dani"/>
    <s v="OLMO"/>
    <s v="Midfielder"/>
    <x v="6"/>
    <n v="1999"/>
  </r>
  <r>
    <n v="148"/>
    <x v="1"/>
    <s v="Victor"/>
    <s v="OSIMHEN"/>
    <s v="Forward"/>
    <x v="12"/>
    <n v="1999"/>
  </r>
  <r>
    <n v="149"/>
    <x v="1"/>
    <s v="Aaron"/>
    <s v="RAMSDALE"/>
    <s v="Goalkeeper"/>
    <x v="5"/>
    <n v="1999"/>
  </r>
  <r>
    <n v="150"/>
    <x v="1"/>
    <s v="Ousmane"/>
    <s v="DEMBÉLÉ"/>
    <s v="Midfielder"/>
    <x v="3"/>
    <n v="2000"/>
  </r>
  <r>
    <n v="151"/>
    <x v="1"/>
    <s v="Phil"/>
    <s v="FODEN"/>
    <s v="Midfielder"/>
    <x v="5"/>
    <n v="2000"/>
  </r>
  <r>
    <n v="152"/>
    <x v="1"/>
    <s v="Erling"/>
    <s v="HAALAND"/>
    <s v="Forward"/>
    <x v="13"/>
    <n v="2000"/>
  </r>
  <r>
    <n v="153"/>
    <x v="1"/>
    <s v="Ibrahima"/>
    <s v="KONATÉ"/>
    <s v="Defender"/>
    <x v="3"/>
    <n v="2000"/>
  </r>
  <r>
    <n v="154"/>
    <x v="1"/>
    <s v="Rafael"/>
    <s v="LEAO"/>
    <s v="Forward"/>
    <x v="19"/>
    <n v="2000"/>
  </r>
  <r>
    <n v="155"/>
    <x v="1"/>
    <s v="Mason"/>
    <s v="MOUNT"/>
    <s v="Midfielder"/>
    <x v="5"/>
    <n v="2000"/>
  </r>
  <r>
    <n v="156"/>
    <x v="1"/>
    <s v="Alphonso"/>
    <s v="DAVIES"/>
    <s v="Defender"/>
    <x v="1"/>
    <n v="2001"/>
  </r>
  <r>
    <n v="157"/>
    <x v="1"/>
    <s v="Khvicha"/>
    <s v="KVARATSKHELIA"/>
    <s v="Forward"/>
    <x v="35"/>
    <n v="2001"/>
  </r>
  <r>
    <n v="158"/>
    <x v="1"/>
    <s v="Mykhailo"/>
    <s v="MUDRYK"/>
    <s v="Forward"/>
    <x v="36"/>
    <n v="2001"/>
  </r>
  <r>
    <n v="159"/>
    <x v="1"/>
    <s v="Nuno"/>
    <s v="NUNO"/>
    <s v="Defender"/>
    <x v="19"/>
    <n v="2001"/>
  </r>
  <r>
    <n v="160"/>
    <x v="1"/>
    <s v="Gabriel"/>
    <s v="PAIXÃO"/>
    <s v="Midfielder"/>
    <x v="2"/>
    <n v="2001"/>
  </r>
  <r>
    <n v="161"/>
    <x v="1"/>
    <s v="Rodrygo"/>
    <s v="RODRYGO"/>
    <s v="Forward"/>
    <x v="2"/>
    <n v="2001"/>
  </r>
  <r>
    <n v="162"/>
    <x v="1"/>
    <s v="Dominik"/>
    <s v="SZOBOSZLAI"/>
    <s v="Midfielder"/>
    <x v="37"/>
    <n v="2001"/>
  </r>
  <r>
    <n v="163"/>
    <x v="1"/>
    <s v="Vinícius"/>
    <s v="VINI JR."/>
    <s v="Forward"/>
    <x v="2"/>
    <n v="2001"/>
  </r>
  <r>
    <n v="164"/>
    <x v="1"/>
    <s v="Vítor"/>
    <s v="VITINHA"/>
    <s v="Midfielder"/>
    <x v="19"/>
    <n v="2001"/>
  </r>
  <r>
    <n v="165"/>
    <x v="1"/>
    <s v="Thiago"/>
    <s v="ALMADA"/>
    <s v="Midfielder"/>
    <x v="14"/>
    <n v="2002"/>
  </r>
  <r>
    <n v="166"/>
    <x v="1"/>
    <s v="Folarin"/>
    <s v="BALOGUN"/>
    <s v="Forward"/>
    <x v="38"/>
    <n v="2002"/>
  </r>
  <r>
    <n v="167"/>
    <x v="1"/>
    <s v="Moisés"/>
    <s v="CAICEDO"/>
    <s v="Midfielder"/>
    <x v="39"/>
    <n v="2002"/>
  </r>
  <r>
    <n v="168"/>
    <x v="1"/>
    <s v="Odilon"/>
    <s v="DIOMANDÉ"/>
    <s v="Defender"/>
    <x v="39"/>
    <n v="2002"/>
  </r>
  <r>
    <n v="169"/>
    <x v="1"/>
    <s v="Bryan"/>
    <s v="GIL"/>
    <s v="Midfielder"/>
    <x v="6"/>
    <n v="2002"/>
  </r>
  <r>
    <n v="170"/>
    <x v="1"/>
    <s v="Joško"/>
    <s v="GVARDIOL"/>
    <s v="Defender"/>
    <x v="20"/>
    <n v="2002"/>
  </r>
  <r>
    <n v="171"/>
    <x v="1"/>
    <s v="Gonçalo"/>
    <s v="RAMOS"/>
    <s v="Forward"/>
    <x v="19"/>
    <n v="2002"/>
  </r>
  <r>
    <n v="172"/>
    <x v="1"/>
    <s v="Nico"/>
    <s v="RICO"/>
    <s v="Forward"/>
    <x v="6"/>
    <n v="2002"/>
  </r>
  <r>
    <n v="173"/>
    <x v="1"/>
    <s v="Aurélien"/>
    <s v="TCHOUAMÉNI"/>
    <s v="Midfielder"/>
    <x v="3"/>
    <n v="2002"/>
  </r>
  <r>
    <n v="174"/>
    <x v="1"/>
    <s v="Jurrien"/>
    <s v="TIMBER"/>
    <s v="Defender"/>
    <x v="11"/>
    <n v="2002"/>
  </r>
  <r>
    <n v="175"/>
    <x v="1"/>
    <s v="Anatoliy"/>
    <s v="TRUBIN"/>
    <s v="Goalkeeper"/>
    <x v="36"/>
    <n v="2002"/>
  </r>
  <r>
    <n v="176"/>
    <x v="1"/>
    <s v="Manuel"/>
    <s v="UGARTE"/>
    <s v="Midfielder"/>
    <x v="24"/>
    <n v="2002"/>
  </r>
  <r>
    <n v="177"/>
    <x v="1"/>
    <s v="Joshua"/>
    <s v="ZIRKZEE"/>
    <s v="Forward"/>
    <x v="11"/>
    <n v="2002"/>
  </r>
  <r>
    <n v="178"/>
    <x v="1"/>
    <s v="Antonio"/>
    <s v="ANTONIO"/>
    <s v="Defender"/>
    <x v="16"/>
    <n v="2003"/>
  </r>
  <r>
    <n v="179"/>
    <x v="1"/>
    <s v="Jude"/>
    <s v="BELLINGHAM"/>
    <s v="Midfielder"/>
    <x v="5"/>
    <n v="2003"/>
  </r>
  <r>
    <n v="180"/>
    <x v="1"/>
    <s v="Eduardo"/>
    <s v="CAMAVINGA"/>
    <s v="Midfielder"/>
    <x v="3"/>
    <n v="2003"/>
  </r>
  <r>
    <n v="181"/>
    <x v="1"/>
    <s v="Ansu"/>
    <s v="FATI"/>
    <s v="Forward"/>
    <x v="6"/>
    <n v="2003"/>
  </r>
  <r>
    <n v="182"/>
    <x v="1"/>
    <s v="Ryan"/>
    <s v="GRAVENBERCH"/>
    <s v="Midfielder"/>
    <x v="11"/>
    <n v="2003"/>
  </r>
  <r>
    <n v="183"/>
    <x v="1"/>
    <s v="Piero"/>
    <s v="HINCAPIÉ"/>
    <s v="Defender"/>
    <x v="40"/>
    <n v="2003"/>
  </r>
  <r>
    <n v="184"/>
    <x v="1"/>
    <s v="Rasmus"/>
    <s v="HØJLUND"/>
    <s v="Forward"/>
    <x v="8"/>
    <n v="2003"/>
  </r>
  <r>
    <n v="185"/>
    <x v="1"/>
    <s v="Roméo"/>
    <s v="LAVIA"/>
    <s v="Midfielder"/>
    <x v="28"/>
    <n v="2003"/>
  </r>
  <r>
    <n v="186"/>
    <x v="1"/>
    <s v="Facundo"/>
    <s v="MEDINA"/>
    <s v="Defender"/>
    <x v="14"/>
    <n v="2003"/>
  </r>
  <r>
    <n v="187"/>
    <x v="1"/>
    <s v="Pedro"/>
    <s v="PEDRI"/>
    <s v="Midfielder"/>
    <x v="6"/>
    <n v="2003"/>
  </r>
  <r>
    <n v="188"/>
    <x v="1"/>
    <s v="Florian"/>
    <s v="WIRTZ"/>
    <s v="Midfielder"/>
    <x v="9"/>
    <n v="2003"/>
  </r>
  <r>
    <n v="189"/>
    <x v="1"/>
    <s v="Alejandro"/>
    <s v="BALDE"/>
    <s v="Defender"/>
    <x v="6"/>
    <n v="2004"/>
  </r>
  <r>
    <n v="190"/>
    <x v="1"/>
    <s v="Rayan"/>
    <s v="CHERKI"/>
    <s v="Forward"/>
    <x v="3"/>
    <n v="2004"/>
  </r>
  <r>
    <n v="191"/>
    <x v="1"/>
    <s v="Carney"/>
    <s v="CHUKWUEMEKA"/>
    <s v="Midfielder"/>
    <x v="5"/>
    <n v="2004"/>
  </r>
  <r>
    <n v="192"/>
    <x v="1"/>
    <s v="Fabio"/>
    <s v="MIRETTI"/>
    <s v="Midfielder"/>
    <x v="16"/>
    <n v="2004"/>
  </r>
  <r>
    <n v="193"/>
    <x v="1"/>
    <s v="Jamal"/>
    <s v="MUSIALA"/>
    <s v="Midfielder"/>
    <x v="9"/>
    <n v="2004"/>
  </r>
  <r>
    <n v="194"/>
    <x v="1"/>
    <s v="Yeremy"/>
    <s v="PINO"/>
    <s v="Forward"/>
    <x v="6"/>
    <n v="2004"/>
  </r>
  <r>
    <n v="195"/>
    <x v="1"/>
    <s v="Giorgio"/>
    <s v="SCALVINI"/>
    <s v="Defender"/>
    <x v="16"/>
    <n v="2004"/>
  </r>
  <r>
    <n v="196"/>
    <x v="1"/>
    <s v="Xavi"/>
    <s v="SIMONS"/>
    <s v="Midfielder"/>
    <x v="11"/>
    <n v="2004"/>
  </r>
  <r>
    <n v="197"/>
    <x v="1"/>
    <s v="Evan"/>
    <s v="FERGUSON"/>
    <s v="Forward"/>
    <x v="41"/>
    <n v="2005"/>
  </r>
  <r>
    <n v="198"/>
    <x v="1"/>
    <s v="Alejandro"/>
    <s v="GARNACHO"/>
    <s v="Forward"/>
    <x v="14"/>
    <n v="2005"/>
  </r>
  <r>
    <n v="199"/>
    <x v="1"/>
    <s v="Pablo"/>
    <s v="GAVI"/>
    <s v="Midfielder"/>
    <x v="6"/>
    <n v="2005"/>
  </r>
  <r>
    <n v="200"/>
    <x v="1"/>
    <s v="Youssoufa"/>
    <s v="MOUKOKO"/>
    <s v="Forward"/>
    <x v="9"/>
    <n v="2005"/>
  </r>
  <r>
    <n v="201"/>
    <x v="1"/>
    <s v="Endrick"/>
    <s v="ENDRICK"/>
    <s v="Forward"/>
    <x v="2"/>
    <n v="2007"/>
  </r>
  <r>
    <n v="202"/>
    <x v="1"/>
    <s v="Lamine"/>
    <s v="YAMAL"/>
    <s v="Forward"/>
    <x v="6"/>
    <n v="2008"/>
  </r>
  <r>
    <n v="203"/>
    <x v="1"/>
    <s v="Nabil"/>
    <s v="BENTALEB"/>
    <s v="NULL"/>
    <x v="42"/>
    <s v="NULL"/>
  </r>
  <r>
    <n v="204"/>
    <x v="1"/>
    <s v="Sven"/>
    <s v="BOTMAN"/>
    <s v="NULL"/>
    <x v="42"/>
    <s v="NULL"/>
  </r>
  <r>
    <n v="205"/>
    <x v="1"/>
    <s v="Gleison"/>
    <s v="BREMER"/>
    <s v="NULL"/>
    <x v="42"/>
    <s v="NULL"/>
  </r>
  <r>
    <n v="206"/>
    <x v="1"/>
    <s v="Nathan"/>
    <s v="BUAYI-KIALA"/>
    <s v="NULL"/>
    <x v="42"/>
    <s v="NULL"/>
  </r>
  <r>
    <n v="207"/>
    <x v="1"/>
    <s v="Valentín"/>
    <s v="CARBONI"/>
    <s v="NULL"/>
    <x v="42"/>
    <s v="NULL"/>
  </r>
  <r>
    <n v="208"/>
    <x v="1"/>
    <s v="Dani"/>
    <s v="CARVAJAL"/>
    <s v="NULL"/>
    <x v="42"/>
    <s v="NULL"/>
  </r>
  <r>
    <n v="209"/>
    <x v="1"/>
    <s v="José Luis"/>
    <s v="CATALÁ"/>
    <s v="NULL"/>
    <x v="42"/>
    <s v="NULL"/>
  </r>
  <r>
    <n v="210"/>
    <x v="1"/>
    <s v="Sidiki"/>
    <s v="CHÉRIF"/>
    <s v="NULL"/>
    <x v="42"/>
    <s v="NULL"/>
  </r>
  <r>
    <n v="211"/>
    <x v="1"/>
    <s v="Lasso"/>
    <s v="COULIBALY"/>
    <s v="NULL"/>
    <x v="42"/>
    <s v="NULL"/>
  </r>
  <r>
    <n v="212"/>
    <x v="1"/>
    <s v="Matias"/>
    <s v="FERNANDEZ-PARDO"/>
    <s v="NULL"/>
    <x v="42"/>
    <s v="NULL"/>
  </r>
  <r>
    <n v="213"/>
    <x v="1"/>
    <s v="Alessandro"/>
    <s v="FLORENZI"/>
    <s v="NULL"/>
    <x v="42"/>
    <s v="NULL"/>
  </r>
  <r>
    <n v="214"/>
    <x v="1"/>
    <s v="José"/>
    <s v="GRAGERA"/>
    <s v="NULL"/>
    <x v="42"/>
    <s v="NULL"/>
  </r>
  <r>
    <n v="215"/>
    <x v="1"/>
    <s v="Rodri"/>
    <s v="HERNÁNDEZ"/>
    <s v="NULL"/>
    <x v="42"/>
    <s v="NULL"/>
  </r>
  <r>
    <n v="216"/>
    <x v="1"/>
    <s v="Mauro"/>
    <s v="ICARDI"/>
    <s v="NULL"/>
    <x v="42"/>
    <s v="NULL"/>
  </r>
  <r>
    <n v="217"/>
    <x v="1"/>
    <s v="Tino"/>
    <s v="KADEWERE"/>
    <s v="NULL"/>
    <x v="42"/>
    <s v="NULL"/>
  </r>
  <r>
    <n v="218"/>
    <x v="1"/>
    <s v="Daler"/>
    <s v="KUZYAEV"/>
    <s v="NULL"/>
    <x v="42"/>
    <s v="NULL"/>
  </r>
  <r>
    <n v="219"/>
    <x v="1"/>
    <s v="Rémy"/>
    <s v="LABEAU LASCARY"/>
    <s v="NULL"/>
    <x v="42"/>
    <s v="NULL"/>
  </r>
  <r>
    <n v="220"/>
    <x v="1"/>
    <s v="Elysée"/>
    <s v="LOGBO"/>
    <s v="NULL"/>
    <x v="42"/>
    <s v="NULL"/>
  </r>
  <r>
    <n v="221"/>
    <x v="1"/>
    <s v="Yvann"/>
    <s v="MAÇON"/>
    <s v="NULL"/>
    <x v="42"/>
    <s v="NULL"/>
  </r>
  <r>
    <n v="222"/>
    <x v="1"/>
    <s v="Nikola"/>
    <s v="MAKSIMOVIĆ"/>
    <s v="NULL"/>
    <x v="42"/>
    <s v="NULL"/>
  </r>
  <r>
    <n v="223"/>
    <x v="1"/>
    <s v="Eder"/>
    <s v="MILITÃO"/>
    <s v="NULL"/>
    <x v="42"/>
    <s v="NULL"/>
  </r>
  <r>
    <n v="224"/>
    <x v="1"/>
    <s v="Lucas"/>
    <s v="MINCARELLI"/>
    <s v="NULL"/>
    <x v="42"/>
    <s v="NULL"/>
  </r>
  <r>
    <n v="225"/>
    <x v="1"/>
    <s v="Terem"/>
    <s v="MOFFI"/>
    <s v="NULL"/>
    <x v="42"/>
    <s v="NULL"/>
  </r>
  <r>
    <n v="226"/>
    <x v="1"/>
    <s v="Aïmen"/>
    <s v="MOUEFFEK"/>
    <s v="NULL"/>
    <x v="42"/>
    <s v="NULL"/>
  </r>
  <r>
    <n v="227"/>
    <x v="1"/>
    <s v="Glenn"/>
    <s v="NGOSSO"/>
    <s v="NULL"/>
    <x v="42"/>
    <s v="NULL"/>
  </r>
  <r>
    <n v="228"/>
    <x v="1"/>
    <s v="Moïse"/>
    <s v="SAHI DION"/>
    <s v="NULL"/>
    <x v="42"/>
    <s v="NULL"/>
  </r>
  <r>
    <n v="229"/>
    <x v="1"/>
    <s v="Tiago"/>
    <s v="SANTOS"/>
    <s v="NULL"/>
    <x v="42"/>
    <s v="NULL"/>
  </r>
  <r>
    <n v="230"/>
    <x v="1"/>
    <s v="Gianluca"/>
    <s v="SCAMACCA"/>
    <s v="NULL"/>
    <x v="42"/>
    <s v="NULL"/>
  </r>
  <r>
    <n v="231"/>
    <x v="1"/>
    <s v="Abdoulaye"/>
    <s v="TOURÉ"/>
    <s v="NULL"/>
    <x v="42"/>
    <s v="NULL"/>
  </r>
  <r>
    <n v="232"/>
    <x v="1"/>
    <s v="Samuel"/>
    <s v="UMTITI"/>
    <s v="NULL"/>
    <x v="42"/>
    <s v="NULL"/>
  </r>
  <r>
    <n v="233"/>
    <x v="1"/>
    <s v="Duván"/>
    <s v="ZAPATA"/>
    <s v="NULL"/>
    <x v="42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AA523-1CF3-4D66-B223-F227AF62FA65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 rowHeaderCaption="Gender">
  <location ref="A2:B5" firstHeaderRow="1" firstDataRow="1" firstDataCol="1"/>
  <pivotFields count="7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Nombre" fld="0" subtotal="count" baseField="1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6C02C-86C4-47CD-BE54-E740F14CC00A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ountry" colHeaderCaption="Gender">
  <location ref="A9:D54" firstHeaderRow="1" firstDataRow="2" firstDataCol="1"/>
  <pivotFields count="7"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4">
        <item x="29"/>
        <item x="14"/>
        <item x="10"/>
        <item x="31"/>
        <item x="28"/>
        <item x="2"/>
        <item x="17"/>
        <item x="1"/>
        <item x="23"/>
        <item x="20"/>
        <item x="8"/>
        <item x="40"/>
        <item x="30"/>
        <item x="5"/>
        <item x="3"/>
        <item x="35"/>
        <item x="9"/>
        <item x="37"/>
        <item x="41"/>
        <item x="16"/>
        <item x="39"/>
        <item x="4"/>
        <item x="21"/>
        <item x="34"/>
        <item x="11"/>
        <item x="12"/>
        <item x="13"/>
        <item x="42"/>
        <item x="25"/>
        <item x="19"/>
        <item x="15"/>
        <item x="33"/>
        <item x="22"/>
        <item x="32"/>
        <item x="7"/>
        <item x="6"/>
        <item x="18"/>
        <item x="26"/>
        <item x="36"/>
        <item x="38"/>
        <item x="0"/>
        <item x="24"/>
        <item x="27"/>
        <item t="default"/>
      </items>
    </pivotField>
    <pivotField showAll="0"/>
  </pivotFields>
  <rowFields count="1">
    <field x="5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ombre" fld="0" subtotal="count" baseField="1" baseItem="0"/>
  </dataFields>
  <formats count="1">
    <format dxfId="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5AF7-A9D5-4775-AC5A-ACE58508CDF8}">
  <dimension ref="A1:L64"/>
  <sheetViews>
    <sheetView tabSelected="1" workbookViewId="0">
      <selection activeCell="C1" sqref="C1"/>
    </sheetView>
  </sheetViews>
  <sheetFormatPr baseColWidth="10" defaultRowHeight="14.5" x14ac:dyDescent="0.35"/>
  <cols>
    <col min="1" max="12" width="11.36328125" customWidth="1"/>
  </cols>
  <sheetData>
    <row r="1" spans="1:3" x14ac:dyDescent="0.35">
      <c r="A1" t="s">
        <v>1488</v>
      </c>
      <c r="B1" t="s">
        <v>1489</v>
      </c>
      <c r="C1" t="s">
        <v>1489</v>
      </c>
    </row>
    <row r="21" spans="1:12" x14ac:dyDescent="0.3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3" spans="1:12" x14ac:dyDescent="0.35">
      <c r="A23" s="23" t="s">
        <v>1079</v>
      </c>
      <c r="B23" s="23" t="s">
        <v>1077</v>
      </c>
      <c r="C23" s="23" t="s">
        <v>1076</v>
      </c>
      <c r="D23" s="23" t="s">
        <v>504</v>
      </c>
      <c r="E23" s="23" t="s">
        <v>503</v>
      </c>
      <c r="F23" s="23" t="s">
        <v>505</v>
      </c>
      <c r="G23" s="23" t="s">
        <v>1075</v>
      </c>
      <c r="H23" s="23" t="s">
        <v>1078</v>
      </c>
      <c r="I23" s="24" t="s">
        <v>909</v>
      </c>
      <c r="J23" s="24" t="s">
        <v>910</v>
      </c>
      <c r="K23" s="24" t="s">
        <v>911</v>
      </c>
      <c r="L23" s="24" t="s">
        <v>1112</v>
      </c>
    </row>
    <row r="29" spans="1:12" x14ac:dyDescent="0.35">
      <c r="A29" t="s">
        <v>1081</v>
      </c>
      <c r="B29" s="16" t="s">
        <v>1355</v>
      </c>
    </row>
    <row r="30" spans="1:12" x14ac:dyDescent="0.35">
      <c r="B30" s="16" t="s">
        <v>1116</v>
      </c>
    </row>
    <row r="31" spans="1:12" x14ac:dyDescent="0.35">
      <c r="A31" t="s">
        <v>1082</v>
      </c>
      <c r="B31" t="s">
        <v>1084</v>
      </c>
    </row>
    <row r="32" spans="1:12" x14ac:dyDescent="0.35">
      <c r="A32" t="s">
        <v>1113</v>
      </c>
    </row>
    <row r="34" spans="1:2" x14ac:dyDescent="0.35">
      <c r="A34" t="s">
        <v>1114</v>
      </c>
    </row>
    <row r="37" spans="1:2" x14ac:dyDescent="0.35">
      <c r="A37" t="s">
        <v>1081</v>
      </c>
      <c r="B37" s="16" t="s">
        <v>1118</v>
      </c>
    </row>
    <row r="38" spans="1:2" x14ac:dyDescent="0.35">
      <c r="B38" s="16" t="s">
        <v>1117</v>
      </c>
    </row>
    <row r="39" spans="1:2" x14ac:dyDescent="0.35">
      <c r="A39" t="s">
        <v>1082</v>
      </c>
      <c r="B39" t="s">
        <v>1085</v>
      </c>
    </row>
    <row r="40" spans="1:2" x14ac:dyDescent="0.35">
      <c r="A40" t="s">
        <v>1113</v>
      </c>
    </row>
    <row r="42" spans="1:2" x14ac:dyDescent="0.35">
      <c r="A42" t="s">
        <v>1114</v>
      </c>
    </row>
    <row r="45" spans="1:2" x14ac:dyDescent="0.35">
      <c r="A45" t="s">
        <v>1081</v>
      </c>
      <c r="B45" s="16" t="s">
        <v>1395</v>
      </c>
    </row>
    <row r="46" spans="1:2" x14ac:dyDescent="0.35">
      <c r="B46" s="16" t="s">
        <v>1396</v>
      </c>
    </row>
    <row r="47" spans="1:2" x14ac:dyDescent="0.35">
      <c r="A47" t="s">
        <v>1082</v>
      </c>
      <c r="B47" t="s">
        <v>1119</v>
      </c>
    </row>
    <row r="48" spans="1:2" x14ac:dyDescent="0.35">
      <c r="A48" t="s">
        <v>1113</v>
      </c>
    </row>
    <row r="50" spans="1:2" x14ac:dyDescent="0.35">
      <c r="A50" s="26" t="s">
        <v>1114</v>
      </c>
    </row>
    <row r="53" spans="1:2" x14ac:dyDescent="0.35">
      <c r="A53" t="s">
        <v>1081</v>
      </c>
      <c r="B53" s="16" t="s">
        <v>1354</v>
      </c>
    </row>
    <row r="54" spans="1:2" x14ac:dyDescent="0.35">
      <c r="B54" s="16" t="s">
        <v>1123</v>
      </c>
    </row>
    <row r="55" spans="1:2" x14ac:dyDescent="0.35">
      <c r="A55" t="s">
        <v>1082</v>
      </c>
      <c r="B55" t="s">
        <v>1122</v>
      </c>
    </row>
    <row r="56" spans="1:2" x14ac:dyDescent="0.35">
      <c r="A56" t="s">
        <v>1113</v>
      </c>
    </row>
    <row r="58" spans="1:2" x14ac:dyDescent="0.35">
      <c r="A58" s="26" t="s">
        <v>1223</v>
      </c>
    </row>
    <row r="60" spans="1:2" x14ac:dyDescent="0.35">
      <c r="A60" t="s">
        <v>1081</v>
      </c>
      <c r="B60" s="16" t="s">
        <v>1397</v>
      </c>
    </row>
    <row r="61" spans="1:2" x14ac:dyDescent="0.35">
      <c r="B61" s="16" t="s">
        <v>1117</v>
      </c>
    </row>
    <row r="62" spans="1:2" x14ac:dyDescent="0.35">
      <c r="A62" t="s">
        <v>1082</v>
      </c>
      <c r="B62" t="s">
        <v>713</v>
      </c>
    </row>
    <row r="63" spans="1:2" x14ac:dyDescent="0.35">
      <c r="A63" t="s">
        <v>1113</v>
      </c>
    </row>
    <row r="64" spans="1:2" x14ac:dyDescent="0.35">
      <c r="A64" t="s">
        <v>1222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651D-1FB0-4E88-98BF-608E9DF727B7}">
  <dimension ref="A1:L279"/>
  <sheetViews>
    <sheetView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25.453125" customWidth="1"/>
    <col min="2" max="2" width="11.54296875" customWidth="1"/>
    <col min="3" max="3" width="7.90625" customWidth="1"/>
    <col min="4" max="4" width="18.26953125" customWidth="1"/>
    <col min="5" max="5" width="27.7265625" customWidth="1"/>
    <col min="6" max="6" width="10.453125" customWidth="1"/>
    <col min="7" max="7" width="15.90625" customWidth="1"/>
    <col min="12" max="12" width="24" customWidth="1"/>
  </cols>
  <sheetData>
    <row r="1" spans="1:12" x14ac:dyDescent="0.35">
      <c r="A1" s="1" t="s">
        <v>1079</v>
      </c>
      <c r="B1" s="1" t="s">
        <v>1077</v>
      </c>
      <c r="C1" s="1" t="s">
        <v>1076</v>
      </c>
      <c r="D1" s="1" t="s">
        <v>504</v>
      </c>
      <c r="E1" s="1" t="s">
        <v>503</v>
      </c>
      <c r="F1" s="1" t="s">
        <v>505</v>
      </c>
      <c r="G1" s="1" t="s">
        <v>1075</v>
      </c>
      <c r="H1" s="1" t="s">
        <v>1078</v>
      </c>
      <c r="I1" s="21" t="s">
        <v>909</v>
      </c>
      <c r="J1" s="21" t="s">
        <v>910</v>
      </c>
      <c r="K1" s="21" t="s">
        <v>911</v>
      </c>
      <c r="L1" s="21" t="s">
        <v>1112</v>
      </c>
    </row>
    <row r="2" spans="1:12" x14ac:dyDescent="0.35">
      <c r="A2" s="19" t="s">
        <v>878</v>
      </c>
      <c r="B2" t="s">
        <v>542</v>
      </c>
      <c r="C2" t="s">
        <v>1080</v>
      </c>
      <c r="D2" t="s">
        <v>67</v>
      </c>
      <c r="E2" t="s">
        <v>507</v>
      </c>
      <c r="F2" t="s">
        <v>487</v>
      </c>
      <c r="G2" t="s">
        <v>527</v>
      </c>
      <c r="H2" t="s">
        <v>1115</v>
      </c>
      <c r="I2" t="s">
        <v>1115</v>
      </c>
      <c r="J2" t="s">
        <v>1115</v>
      </c>
      <c r="K2" t="s">
        <v>1115</v>
      </c>
      <c r="L2" t="s">
        <v>1115</v>
      </c>
    </row>
    <row r="3" spans="1:12" x14ac:dyDescent="0.35">
      <c r="A3" s="19" t="s">
        <v>878</v>
      </c>
      <c r="B3" t="s">
        <v>543</v>
      </c>
      <c r="C3" t="s">
        <v>1080</v>
      </c>
      <c r="D3" t="s">
        <v>304</v>
      </c>
      <c r="E3" t="s">
        <v>508</v>
      </c>
      <c r="F3" t="s">
        <v>487</v>
      </c>
      <c r="G3" t="s">
        <v>527</v>
      </c>
      <c r="H3" t="s">
        <v>1115</v>
      </c>
      <c r="I3" t="s">
        <v>1115</v>
      </c>
      <c r="J3" t="s">
        <v>1115</v>
      </c>
      <c r="K3" t="s">
        <v>1115</v>
      </c>
      <c r="L3" t="s">
        <v>1115</v>
      </c>
    </row>
    <row r="4" spans="1:12" x14ac:dyDescent="0.35">
      <c r="A4" s="19" t="s">
        <v>878</v>
      </c>
      <c r="B4" t="s">
        <v>544</v>
      </c>
      <c r="C4" t="s">
        <v>1080</v>
      </c>
      <c r="D4" t="s">
        <v>313</v>
      </c>
      <c r="E4" t="s">
        <v>509</v>
      </c>
      <c r="F4" t="s">
        <v>487</v>
      </c>
      <c r="G4" t="s">
        <v>528</v>
      </c>
      <c r="H4" t="s">
        <v>1115</v>
      </c>
      <c r="I4" t="s">
        <v>1115</v>
      </c>
      <c r="J4" t="s">
        <v>1115</v>
      </c>
      <c r="K4" t="s">
        <v>1115</v>
      </c>
      <c r="L4" t="s">
        <v>1115</v>
      </c>
    </row>
    <row r="5" spans="1:12" x14ac:dyDescent="0.35">
      <c r="A5" s="19" t="s">
        <v>878</v>
      </c>
      <c r="B5" t="s">
        <v>545</v>
      </c>
      <c r="C5" t="s">
        <v>1080</v>
      </c>
      <c r="D5" t="s">
        <v>319</v>
      </c>
      <c r="E5" t="s">
        <v>510</v>
      </c>
      <c r="F5" t="s">
        <v>487</v>
      </c>
      <c r="G5" t="s">
        <v>528</v>
      </c>
      <c r="H5" t="s">
        <v>1115</v>
      </c>
      <c r="I5" t="s">
        <v>1115</v>
      </c>
      <c r="J5" t="s">
        <v>1115</v>
      </c>
      <c r="K5" t="s">
        <v>1115</v>
      </c>
      <c r="L5" t="s">
        <v>1115</v>
      </c>
    </row>
    <row r="6" spans="1:12" x14ac:dyDescent="0.35">
      <c r="A6" s="19" t="s">
        <v>878</v>
      </c>
      <c r="B6" t="s">
        <v>546</v>
      </c>
      <c r="C6" t="s">
        <v>1080</v>
      </c>
      <c r="D6" t="s">
        <v>311</v>
      </c>
      <c r="E6" t="s">
        <v>511</v>
      </c>
      <c r="F6" t="s">
        <v>487</v>
      </c>
      <c r="G6" t="s">
        <v>528</v>
      </c>
      <c r="H6" t="s">
        <v>1115</v>
      </c>
      <c r="I6" t="s">
        <v>1115</v>
      </c>
      <c r="J6" t="s">
        <v>1115</v>
      </c>
      <c r="K6" t="s">
        <v>1115</v>
      </c>
      <c r="L6" t="s">
        <v>1115</v>
      </c>
    </row>
    <row r="7" spans="1:12" x14ac:dyDescent="0.35">
      <c r="A7" s="19" t="s">
        <v>878</v>
      </c>
      <c r="B7" t="s">
        <v>547</v>
      </c>
      <c r="C7" t="s">
        <v>1080</v>
      </c>
      <c r="D7" t="s">
        <v>323</v>
      </c>
      <c r="E7" t="s">
        <v>512</v>
      </c>
      <c r="F7" t="s">
        <v>487</v>
      </c>
      <c r="G7" t="s">
        <v>529</v>
      </c>
      <c r="H7" t="s">
        <v>1115</v>
      </c>
      <c r="I7" t="s">
        <v>1115</v>
      </c>
      <c r="J7" t="s">
        <v>1115</v>
      </c>
      <c r="K7" t="s">
        <v>1115</v>
      </c>
      <c r="L7" t="s">
        <v>1115</v>
      </c>
    </row>
    <row r="8" spans="1:12" x14ac:dyDescent="0.35">
      <c r="A8" s="19" t="s">
        <v>878</v>
      </c>
      <c r="B8" t="s">
        <v>548</v>
      </c>
      <c r="C8" t="s">
        <v>1080</v>
      </c>
      <c r="D8" t="s">
        <v>41</v>
      </c>
      <c r="E8" t="s">
        <v>513</v>
      </c>
      <c r="F8" t="s">
        <v>487</v>
      </c>
      <c r="G8" t="s">
        <v>530</v>
      </c>
      <c r="H8" t="s">
        <v>1115</v>
      </c>
      <c r="I8" t="s">
        <v>1115</v>
      </c>
      <c r="J8" t="s">
        <v>1115</v>
      </c>
      <c r="K8" t="s">
        <v>1115</v>
      </c>
      <c r="L8" t="s">
        <v>1115</v>
      </c>
    </row>
    <row r="9" spans="1:12" x14ac:dyDescent="0.35">
      <c r="A9" s="19" t="s">
        <v>878</v>
      </c>
      <c r="B9" t="s">
        <v>549</v>
      </c>
      <c r="C9" t="s">
        <v>1080</v>
      </c>
      <c r="D9" t="s">
        <v>44</v>
      </c>
      <c r="E9" t="s">
        <v>514</v>
      </c>
      <c r="F9" t="s">
        <v>487</v>
      </c>
      <c r="G9" t="s">
        <v>531</v>
      </c>
      <c r="H9" t="s">
        <v>1115</v>
      </c>
      <c r="I9" t="s">
        <v>1115</v>
      </c>
      <c r="J9" t="s">
        <v>1115</v>
      </c>
      <c r="K9" t="s">
        <v>1115</v>
      </c>
      <c r="L9" t="s">
        <v>1115</v>
      </c>
    </row>
    <row r="10" spans="1:12" x14ac:dyDescent="0.35">
      <c r="A10" s="19" t="s">
        <v>878</v>
      </c>
      <c r="B10" t="s">
        <v>550</v>
      </c>
      <c r="C10" t="s">
        <v>1080</v>
      </c>
      <c r="D10" t="s">
        <v>302</v>
      </c>
      <c r="E10" t="s">
        <v>515</v>
      </c>
      <c r="F10" t="s">
        <v>487</v>
      </c>
      <c r="G10" t="s">
        <v>531</v>
      </c>
      <c r="H10" t="s">
        <v>1115</v>
      </c>
      <c r="I10" t="s">
        <v>1115</v>
      </c>
      <c r="J10" t="s">
        <v>1115</v>
      </c>
      <c r="K10" t="s">
        <v>1115</v>
      </c>
      <c r="L10" t="s">
        <v>1115</v>
      </c>
    </row>
    <row r="11" spans="1:12" x14ac:dyDescent="0.35">
      <c r="A11" s="19" t="s">
        <v>878</v>
      </c>
      <c r="B11" t="s">
        <v>551</v>
      </c>
      <c r="C11" t="s">
        <v>1080</v>
      </c>
      <c r="D11" t="s">
        <v>131</v>
      </c>
      <c r="E11" t="s">
        <v>516</v>
      </c>
      <c r="F11" t="s">
        <v>487</v>
      </c>
      <c r="G11" t="s">
        <v>532</v>
      </c>
      <c r="H11" t="s">
        <v>1115</v>
      </c>
      <c r="I11" t="s">
        <v>1115</v>
      </c>
      <c r="J11" t="s">
        <v>1115</v>
      </c>
      <c r="K11" t="s">
        <v>1115</v>
      </c>
      <c r="L11" t="s">
        <v>1115</v>
      </c>
    </row>
    <row r="12" spans="1:12" x14ac:dyDescent="0.35">
      <c r="A12" s="19" t="s">
        <v>878</v>
      </c>
      <c r="B12" t="s">
        <v>552</v>
      </c>
      <c r="C12" t="s">
        <v>1080</v>
      </c>
      <c r="D12" t="s">
        <v>317</v>
      </c>
      <c r="E12" t="s">
        <v>517</v>
      </c>
      <c r="F12" t="s">
        <v>487</v>
      </c>
      <c r="G12" t="s">
        <v>533</v>
      </c>
      <c r="H12" t="s">
        <v>1115</v>
      </c>
      <c r="I12" t="s">
        <v>1115</v>
      </c>
      <c r="J12" t="s">
        <v>1115</v>
      </c>
      <c r="K12" t="s">
        <v>1115</v>
      </c>
      <c r="L12" t="s">
        <v>1115</v>
      </c>
    </row>
    <row r="13" spans="1:12" x14ac:dyDescent="0.35">
      <c r="A13" s="19" t="s">
        <v>878</v>
      </c>
      <c r="B13" t="s">
        <v>553</v>
      </c>
      <c r="C13" t="s">
        <v>1080</v>
      </c>
      <c r="D13" t="s">
        <v>248</v>
      </c>
      <c r="E13" t="s">
        <v>518</v>
      </c>
      <c r="F13" t="s">
        <v>487</v>
      </c>
      <c r="G13" t="s">
        <v>534</v>
      </c>
      <c r="H13" t="s">
        <v>1115</v>
      </c>
      <c r="I13" t="s">
        <v>1115</v>
      </c>
      <c r="J13" t="s">
        <v>1115</v>
      </c>
      <c r="K13" t="s">
        <v>1115</v>
      </c>
      <c r="L13" t="s">
        <v>1115</v>
      </c>
    </row>
    <row r="14" spans="1:12" x14ac:dyDescent="0.35">
      <c r="A14" s="19" t="s">
        <v>878</v>
      </c>
      <c r="B14" t="s">
        <v>554</v>
      </c>
      <c r="C14" t="s">
        <v>1080</v>
      </c>
      <c r="D14" t="s">
        <v>134</v>
      </c>
      <c r="E14" t="s">
        <v>519</v>
      </c>
      <c r="F14" t="s">
        <v>487</v>
      </c>
      <c r="G14" t="s">
        <v>535</v>
      </c>
      <c r="H14" t="s">
        <v>1115</v>
      </c>
      <c r="I14" t="s">
        <v>1115</v>
      </c>
      <c r="J14" t="s">
        <v>1115</v>
      </c>
      <c r="K14" t="s">
        <v>1115</v>
      </c>
      <c r="L14" t="s">
        <v>1115</v>
      </c>
    </row>
    <row r="15" spans="1:12" x14ac:dyDescent="0.35">
      <c r="A15" s="19" t="s">
        <v>878</v>
      </c>
      <c r="B15" t="s">
        <v>555</v>
      </c>
      <c r="C15" t="s">
        <v>1080</v>
      </c>
      <c r="D15" t="s">
        <v>129</v>
      </c>
      <c r="E15" t="s">
        <v>520</v>
      </c>
      <c r="F15" t="s">
        <v>487</v>
      </c>
      <c r="G15" t="s">
        <v>535</v>
      </c>
      <c r="H15" t="s">
        <v>1115</v>
      </c>
      <c r="I15" t="s">
        <v>1115</v>
      </c>
      <c r="J15" t="s">
        <v>1115</v>
      </c>
      <c r="K15" t="s">
        <v>1115</v>
      </c>
      <c r="L15" t="s">
        <v>1115</v>
      </c>
    </row>
    <row r="16" spans="1:12" x14ac:dyDescent="0.35">
      <c r="A16" s="19" t="s">
        <v>878</v>
      </c>
      <c r="B16" t="s">
        <v>556</v>
      </c>
      <c r="C16" t="s">
        <v>1080</v>
      </c>
      <c r="D16" t="s">
        <v>306</v>
      </c>
      <c r="E16" t="s">
        <v>521</v>
      </c>
      <c r="F16" t="s">
        <v>487</v>
      </c>
      <c r="G16" t="s">
        <v>536</v>
      </c>
      <c r="H16" t="s">
        <v>1115</v>
      </c>
      <c r="I16" t="s">
        <v>1115</v>
      </c>
      <c r="J16" t="s">
        <v>1115</v>
      </c>
      <c r="K16" t="s">
        <v>1115</v>
      </c>
      <c r="L16" t="s">
        <v>1115</v>
      </c>
    </row>
    <row r="17" spans="1:12" x14ac:dyDescent="0.35">
      <c r="A17" s="19" t="s">
        <v>878</v>
      </c>
      <c r="B17" t="s">
        <v>557</v>
      </c>
      <c r="C17" t="s">
        <v>1080</v>
      </c>
      <c r="D17" t="s">
        <v>326</v>
      </c>
      <c r="E17" t="s">
        <v>522</v>
      </c>
      <c r="F17" t="s">
        <v>487</v>
      </c>
      <c r="G17" t="s">
        <v>537</v>
      </c>
      <c r="H17" t="s">
        <v>1115</v>
      </c>
      <c r="I17" t="s">
        <v>1115</v>
      </c>
      <c r="J17" t="s">
        <v>1115</v>
      </c>
      <c r="K17" t="s">
        <v>1115</v>
      </c>
      <c r="L17" t="s">
        <v>1115</v>
      </c>
    </row>
    <row r="18" spans="1:12" x14ac:dyDescent="0.35">
      <c r="A18" s="19" t="s">
        <v>878</v>
      </c>
      <c r="B18" t="s">
        <v>558</v>
      </c>
      <c r="C18" t="s">
        <v>1080</v>
      </c>
      <c r="D18" t="s">
        <v>315</v>
      </c>
      <c r="E18" t="s">
        <v>523</v>
      </c>
      <c r="F18" t="s">
        <v>487</v>
      </c>
      <c r="G18" t="s">
        <v>538</v>
      </c>
      <c r="H18" t="s">
        <v>1115</v>
      </c>
      <c r="I18" t="s">
        <v>1115</v>
      </c>
      <c r="J18" t="s">
        <v>1115</v>
      </c>
      <c r="K18" t="s">
        <v>1115</v>
      </c>
      <c r="L18" t="s">
        <v>1115</v>
      </c>
    </row>
    <row r="19" spans="1:12" x14ac:dyDescent="0.35">
      <c r="A19" s="19" t="s">
        <v>878</v>
      </c>
      <c r="B19" t="s">
        <v>559</v>
      </c>
      <c r="C19" t="s">
        <v>1080</v>
      </c>
      <c r="D19" t="s">
        <v>308</v>
      </c>
      <c r="E19" t="s">
        <v>524</v>
      </c>
      <c r="F19" t="s">
        <v>487</v>
      </c>
      <c r="G19" t="s">
        <v>539</v>
      </c>
      <c r="H19" t="s">
        <v>1115</v>
      </c>
      <c r="I19" t="s">
        <v>1115</v>
      </c>
      <c r="J19" t="s">
        <v>1115</v>
      </c>
      <c r="K19" t="s">
        <v>1115</v>
      </c>
      <c r="L19" t="s">
        <v>1115</v>
      </c>
    </row>
    <row r="20" spans="1:12" x14ac:dyDescent="0.35">
      <c r="A20" s="19" t="s">
        <v>878</v>
      </c>
      <c r="B20" t="s">
        <v>560</v>
      </c>
      <c r="C20" t="s">
        <v>1080</v>
      </c>
      <c r="D20" t="s">
        <v>321</v>
      </c>
      <c r="E20" t="s">
        <v>525</v>
      </c>
      <c r="F20" t="s">
        <v>487</v>
      </c>
      <c r="G20" t="s">
        <v>540</v>
      </c>
      <c r="H20" t="s">
        <v>1115</v>
      </c>
      <c r="I20" t="s">
        <v>1115</v>
      </c>
      <c r="J20" t="s">
        <v>1115</v>
      </c>
      <c r="K20" t="s">
        <v>1115</v>
      </c>
      <c r="L20" t="s">
        <v>1115</v>
      </c>
    </row>
    <row r="21" spans="1:12" x14ac:dyDescent="0.35">
      <c r="A21" s="19" t="s">
        <v>878</v>
      </c>
      <c r="B21" t="s">
        <v>561</v>
      </c>
      <c r="C21" t="s">
        <v>1080</v>
      </c>
      <c r="D21" t="s">
        <v>329</v>
      </c>
      <c r="E21" t="s">
        <v>526</v>
      </c>
      <c r="F21" t="s">
        <v>487</v>
      </c>
      <c r="G21" t="s">
        <v>541</v>
      </c>
      <c r="H21" t="s">
        <v>1115</v>
      </c>
      <c r="I21" t="s">
        <v>1115</v>
      </c>
      <c r="J21" t="s">
        <v>1115</v>
      </c>
      <c r="K21" t="s">
        <v>1115</v>
      </c>
      <c r="L21" t="s">
        <v>1115</v>
      </c>
    </row>
    <row r="22" spans="1:12" x14ac:dyDescent="0.35">
      <c r="A22" s="20" t="s">
        <v>1085</v>
      </c>
      <c r="B22" s="15">
        <v>1</v>
      </c>
      <c r="C22" t="s">
        <v>1080</v>
      </c>
      <c r="D22" t="s">
        <v>571</v>
      </c>
      <c r="E22" t="s">
        <v>1087</v>
      </c>
      <c r="F22" t="s">
        <v>7</v>
      </c>
      <c r="G22" t="s">
        <v>529</v>
      </c>
      <c r="H22">
        <v>1926</v>
      </c>
      <c r="I22" t="s">
        <v>1115</v>
      </c>
      <c r="J22" t="s">
        <v>1115</v>
      </c>
      <c r="K22" t="s">
        <v>1115</v>
      </c>
      <c r="L22" t="s">
        <v>1115</v>
      </c>
    </row>
    <row r="23" spans="1:12" x14ac:dyDescent="0.35">
      <c r="A23" s="20" t="s">
        <v>1085</v>
      </c>
      <c r="B23" s="15">
        <v>2</v>
      </c>
      <c r="C23" t="s">
        <v>1080</v>
      </c>
      <c r="D23" t="s">
        <v>579</v>
      </c>
      <c r="E23" t="s">
        <v>1088</v>
      </c>
      <c r="F23" t="s">
        <v>42</v>
      </c>
      <c r="G23" t="s">
        <v>1111</v>
      </c>
      <c r="H23">
        <v>1929</v>
      </c>
      <c r="I23" t="s">
        <v>1115</v>
      </c>
      <c r="J23" t="s">
        <v>1115</v>
      </c>
      <c r="K23" t="s">
        <v>1115</v>
      </c>
      <c r="L23" t="s">
        <v>1115</v>
      </c>
    </row>
    <row r="24" spans="1:12" x14ac:dyDescent="0.35">
      <c r="A24" s="20" t="s">
        <v>1085</v>
      </c>
      <c r="B24" s="15">
        <v>3</v>
      </c>
      <c r="C24" t="s">
        <v>1080</v>
      </c>
      <c r="D24" t="s">
        <v>584</v>
      </c>
      <c r="E24" t="s">
        <v>1089</v>
      </c>
      <c r="F24" t="s">
        <v>42</v>
      </c>
      <c r="G24" t="s">
        <v>528</v>
      </c>
      <c r="H24">
        <v>1937</v>
      </c>
      <c r="I24" t="s">
        <v>1115</v>
      </c>
      <c r="J24" t="s">
        <v>1115</v>
      </c>
      <c r="K24" t="s">
        <v>1115</v>
      </c>
      <c r="L24" t="s">
        <v>1115</v>
      </c>
    </row>
    <row r="25" spans="1:12" x14ac:dyDescent="0.35">
      <c r="A25" s="20" t="s">
        <v>1085</v>
      </c>
      <c r="B25" s="15">
        <v>4</v>
      </c>
      <c r="C25" t="s">
        <v>1080</v>
      </c>
      <c r="D25" t="s">
        <v>563</v>
      </c>
      <c r="E25" t="s">
        <v>1090</v>
      </c>
      <c r="F25" t="s">
        <v>7</v>
      </c>
      <c r="G25" t="s">
        <v>531</v>
      </c>
      <c r="H25">
        <v>1940</v>
      </c>
      <c r="I25" t="s">
        <v>1115</v>
      </c>
      <c r="J25" t="s">
        <v>1115</v>
      </c>
      <c r="K25" t="s">
        <v>1115</v>
      </c>
      <c r="L25" t="s">
        <v>1115</v>
      </c>
    </row>
    <row r="26" spans="1:12" x14ac:dyDescent="0.35">
      <c r="A26" s="20" t="s">
        <v>1085</v>
      </c>
      <c r="B26" s="15">
        <v>5</v>
      </c>
      <c r="C26" t="s">
        <v>1080</v>
      </c>
      <c r="D26" t="s">
        <v>582</v>
      </c>
      <c r="E26" t="s">
        <v>1091</v>
      </c>
      <c r="F26" t="s">
        <v>42</v>
      </c>
      <c r="G26" t="s">
        <v>536</v>
      </c>
      <c r="H26">
        <v>1942</v>
      </c>
      <c r="I26" t="s">
        <v>1115</v>
      </c>
      <c r="J26" t="s">
        <v>1115</v>
      </c>
      <c r="K26" t="s">
        <v>1115</v>
      </c>
      <c r="L26" t="s">
        <v>1115</v>
      </c>
    </row>
    <row r="27" spans="1:12" x14ac:dyDescent="0.35">
      <c r="A27" s="20" t="s">
        <v>1085</v>
      </c>
      <c r="B27" s="15">
        <v>6</v>
      </c>
      <c r="C27" t="s">
        <v>1080</v>
      </c>
      <c r="D27" t="s">
        <v>573</v>
      </c>
      <c r="E27" t="s">
        <v>1092</v>
      </c>
      <c r="F27" t="s">
        <v>35</v>
      </c>
      <c r="G27" t="s">
        <v>527</v>
      </c>
      <c r="H27">
        <v>1945</v>
      </c>
      <c r="I27" t="s">
        <v>1115</v>
      </c>
      <c r="J27" t="s">
        <v>1115</v>
      </c>
      <c r="K27" t="s">
        <v>1115</v>
      </c>
      <c r="L27" t="s">
        <v>1115</v>
      </c>
    </row>
    <row r="28" spans="1:12" x14ac:dyDescent="0.35">
      <c r="A28" s="20" t="s">
        <v>1085</v>
      </c>
      <c r="B28" s="15">
        <v>7</v>
      </c>
      <c r="C28" t="s">
        <v>1080</v>
      </c>
      <c r="D28" t="s">
        <v>567</v>
      </c>
      <c r="E28" t="s">
        <v>1093</v>
      </c>
      <c r="F28" t="s">
        <v>25</v>
      </c>
      <c r="G28" t="s">
        <v>1105</v>
      </c>
      <c r="H28">
        <v>1947</v>
      </c>
      <c r="I28" t="s">
        <v>1115</v>
      </c>
      <c r="J28" t="s">
        <v>1115</v>
      </c>
      <c r="K28" t="s">
        <v>1115</v>
      </c>
      <c r="L28" t="s">
        <v>1115</v>
      </c>
    </row>
    <row r="29" spans="1:12" x14ac:dyDescent="0.35">
      <c r="A29" s="20" t="s">
        <v>1085</v>
      </c>
      <c r="B29" s="15">
        <v>8</v>
      </c>
      <c r="C29" t="s">
        <v>1080</v>
      </c>
      <c r="D29" t="s">
        <v>58</v>
      </c>
      <c r="E29" t="s">
        <v>1094</v>
      </c>
      <c r="F29" t="s">
        <v>42</v>
      </c>
      <c r="G29" t="s">
        <v>1106</v>
      </c>
      <c r="H29">
        <v>1954</v>
      </c>
      <c r="I29" t="s">
        <v>1115</v>
      </c>
      <c r="J29" t="s">
        <v>1115</v>
      </c>
      <c r="K29" t="s">
        <v>1115</v>
      </c>
      <c r="L29" t="s">
        <v>1115</v>
      </c>
    </row>
    <row r="30" spans="1:12" x14ac:dyDescent="0.35">
      <c r="A30" s="20" t="s">
        <v>1085</v>
      </c>
      <c r="B30" s="15">
        <v>9</v>
      </c>
      <c r="C30" t="s">
        <v>1080</v>
      </c>
      <c r="D30" t="s">
        <v>576</v>
      </c>
      <c r="E30" t="s">
        <v>1095</v>
      </c>
      <c r="F30" t="s">
        <v>25</v>
      </c>
      <c r="G30" t="s">
        <v>535</v>
      </c>
      <c r="H30">
        <v>1955</v>
      </c>
      <c r="I30" t="s">
        <v>1115</v>
      </c>
      <c r="J30" t="s">
        <v>1115</v>
      </c>
      <c r="K30" t="s">
        <v>1115</v>
      </c>
      <c r="L30" t="s">
        <v>1115</v>
      </c>
    </row>
    <row r="31" spans="1:12" x14ac:dyDescent="0.35">
      <c r="A31" s="20" t="s">
        <v>1085</v>
      </c>
      <c r="B31" s="15">
        <v>10</v>
      </c>
      <c r="C31" t="s">
        <v>1080</v>
      </c>
      <c r="D31" t="s">
        <v>565</v>
      </c>
      <c r="E31" t="s">
        <v>1096</v>
      </c>
      <c r="F31" t="s">
        <v>7</v>
      </c>
      <c r="G31" t="s">
        <v>529</v>
      </c>
      <c r="H31">
        <v>1960</v>
      </c>
      <c r="I31" t="s">
        <v>1115</v>
      </c>
      <c r="J31" t="s">
        <v>1115</v>
      </c>
      <c r="K31" t="s">
        <v>1115</v>
      </c>
      <c r="L31" t="s">
        <v>1115</v>
      </c>
    </row>
    <row r="32" spans="1:12" x14ac:dyDescent="0.35">
      <c r="A32" s="20" t="s">
        <v>1085</v>
      </c>
      <c r="B32" s="15">
        <v>11</v>
      </c>
      <c r="C32" t="s">
        <v>1080</v>
      </c>
      <c r="D32" t="s">
        <v>587</v>
      </c>
      <c r="E32" t="s">
        <v>1097</v>
      </c>
      <c r="F32" t="s">
        <v>42</v>
      </c>
      <c r="G32" t="s">
        <v>1107</v>
      </c>
      <c r="H32">
        <v>1963</v>
      </c>
      <c r="I32" t="s">
        <v>1115</v>
      </c>
      <c r="J32" t="s">
        <v>1115</v>
      </c>
      <c r="K32" t="s">
        <v>1115</v>
      </c>
      <c r="L32" t="s">
        <v>1115</v>
      </c>
    </row>
    <row r="33" spans="1:12" x14ac:dyDescent="0.35">
      <c r="A33" s="20" t="s">
        <v>1085</v>
      </c>
      <c r="B33" s="15">
        <v>12</v>
      </c>
      <c r="C33" t="s">
        <v>1080</v>
      </c>
      <c r="D33" t="s">
        <v>594</v>
      </c>
      <c r="E33" t="s">
        <v>1098</v>
      </c>
      <c r="F33" t="s">
        <v>42</v>
      </c>
      <c r="G33" t="s">
        <v>531</v>
      </c>
      <c r="H33">
        <v>1966</v>
      </c>
      <c r="I33" t="s">
        <v>1115</v>
      </c>
      <c r="J33" t="s">
        <v>1115</v>
      </c>
      <c r="K33" t="s">
        <v>1115</v>
      </c>
      <c r="L33" t="s">
        <v>1115</v>
      </c>
    </row>
    <row r="34" spans="1:12" x14ac:dyDescent="0.35">
      <c r="A34" s="20" t="s">
        <v>1085</v>
      </c>
      <c r="B34" s="15">
        <v>13</v>
      </c>
      <c r="C34" t="s">
        <v>1080</v>
      </c>
      <c r="D34" t="s">
        <v>589</v>
      </c>
      <c r="E34" t="s">
        <v>1099</v>
      </c>
      <c r="F34" t="s">
        <v>42</v>
      </c>
      <c r="G34" t="s">
        <v>527</v>
      </c>
      <c r="H34">
        <v>1969</v>
      </c>
      <c r="I34" t="s">
        <v>1115</v>
      </c>
      <c r="J34" t="s">
        <v>1115</v>
      </c>
      <c r="K34" t="s">
        <v>1115</v>
      </c>
      <c r="L34" t="s">
        <v>1115</v>
      </c>
    </row>
    <row r="35" spans="1:12" x14ac:dyDescent="0.35">
      <c r="A35" s="20" t="s">
        <v>1085</v>
      </c>
      <c r="B35" s="15">
        <v>14</v>
      </c>
      <c r="C35" t="s">
        <v>1080</v>
      </c>
      <c r="D35" t="s">
        <v>569</v>
      </c>
      <c r="E35" t="s">
        <v>1100</v>
      </c>
      <c r="F35" t="s">
        <v>25</v>
      </c>
      <c r="G35" t="s">
        <v>535</v>
      </c>
      <c r="H35">
        <v>1972</v>
      </c>
      <c r="I35" t="s">
        <v>1115</v>
      </c>
      <c r="J35" t="s">
        <v>1115</v>
      </c>
      <c r="K35" t="s">
        <v>1115</v>
      </c>
      <c r="L35" t="s">
        <v>1115</v>
      </c>
    </row>
    <row r="36" spans="1:12" x14ac:dyDescent="0.35">
      <c r="A36" s="20" t="s">
        <v>1085</v>
      </c>
      <c r="B36" s="15">
        <v>15</v>
      </c>
      <c r="C36" t="s">
        <v>1080</v>
      </c>
      <c r="D36" t="s">
        <v>574</v>
      </c>
      <c r="E36" t="s">
        <v>1101</v>
      </c>
      <c r="F36" t="s">
        <v>7</v>
      </c>
      <c r="G36" t="s">
        <v>531</v>
      </c>
      <c r="H36">
        <v>1976</v>
      </c>
      <c r="I36" t="s">
        <v>1115</v>
      </c>
      <c r="J36" t="s">
        <v>1115</v>
      </c>
      <c r="K36" t="s">
        <v>1115</v>
      </c>
      <c r="L36" t="s">
        <v>1115</v>
      </c>
    </row>
    <row r="37" spans="1:12" x14ac:dyDescent="0.35">
      <c r="A37" s="20" t="s">
        <v>1085</v>
      </c>
      <c r="B37" s="15">
        <v>16</v>
      </c>
      <c r="C37" t="s">
        <v>1080</v>
      </c>
      <c r="D37" t="s">
        <v>306</v>
      </c>
      <c r="E37" t="s">
        <v>1102</v>
      </c>
      <c r="F37" t="s">
        <v>42</v>
      </c>
      <c r="G37" t="s">
        <v>536</v>
      </c>
      <c r="H37">
        <v>1978</v>
      </c>
      <c r="I37" t="s">
        <v>1115</v>
      </c>
      <c r="J37" t="s">
        <v>1115</v>
      </c>
      <c r="K37" t="s">
        <v>1115</v>
      </c>
      <c r="L37" t="s">
        <v>1115</v>
      </c>
    </row>
    <row r="38" spans="1:12" x14ac:dyDescent="0.35">
      <c r="A38" s="20" t="s">
        <v>1085</v>
      </c>
      <c r="B38" s="15">
        <v>17</v>
      </c>
      <c r="C38" t="s">
        <v>1080</v>
      </c>
      <c r="D38" t="s">
        <v>591</v>
      </c>
      <c r="E38" t="s">
        <v>1103</v>
      </c>
      <c r="F38" t="s">
        <v>42</v>
      </c>
      <c r="G38" t="s">
        <v>1106</v>
      </c>
      <c r="H38">
        <v>1981</v>
      </c>
      <c r="I38" t="s">
        <v>1115</v>
      </c>
      <c r="J38" t="s">
        <v>1115</v>
      </c>
      <c r="K38" t="s">
        <v>1115</v>
      </c>
      <c r="L38" t="s">
        <v>1115</v>
      </c>
    </row>
    <row r="39" spans="1:12" x14ac:dyDescent="0.35">
      <c r="A39" s="20" t="s">
        <v>1085</v>
      </c>
      <c r="B39" s="15">
        <v>18</v>
      </c>
      <c r="C39" t="s">
        <v>1080</v>
      </c>
      <c r="D39" t="s">
        <v>10</v>
      </c>
      <c r="E39" t="s">
        <v>1101</v>
      </c>
      <c r="F39" t="s">
        <v>7</v>
      </c>
      <c r="G39" t="s">
        <v>1086</v>
      </c>
      <c r="H39">
        <v>1985</v>
      </c>
      <c r="I39" t="s">
        <v>1115</v>
      </c>
      <c r="J39" t="s">
        <v>1115</v>
      </c>
      <c r="K39" t="s">
        <v>1115</v>
      </c>
      <c r="L39" t="s">
        <v>1115</v>
      </c>
    </row>
    <row r="40" spans="1:12" x14ac:dyDescent="0.35">
      <c r="A40" s="20" t="s">
        <v>1085</v>
      </c>
      <c r="B40" s="15">
        <v>19</v>
      </c>
      <c r="C40" t="s">
        <v>1080</v>
      </c>
      <c r="D40" t="s">
        <v>67</v>
      </c>
      <c r="E40" t="s">
        <v>507</v>
      </c>
      <c r="F40" t="s">
        <v>42</v>
      </c>
      <c r="G40" t="s">
        <v>527</v>
      </c>
      <c r="H40">
        <v>1986</v>
      </c>
      <c r="I40" t="s">
        <v>1115</v>
      </c>
      <c r="J40" t="s">
        <v>1115</v>
      </c>
      <c r="K40" t="s">
        <v>1115</v>
      </c>
      <c r="L40" t="s">
        <v>1115</v>
      </c>
    </row>
    <row r="41" spans="1:12" x14ac:dyDescent="0.35">
      <c r="A41" s="20" t="s">
        <v>1085</v>
      </c>
      <c r="B41" s="15">
        <v>20</v>
      </c>
      <c r="C41" t="s">
        <v>1080</v>
      </c>
      <c r="D41" t="s">
        <v>6</v>
      </c>
      <c r="E41" t="s">
        <v>1104</v>
      </c>
      <c r="F41" t="s">
        <v>7</v>
      </c>
      <c r="G41" t="s">
        <v>529</v>
      </c>
      <c r="H41">
        <v>1987</v>
      </c>
      <c r="I41" t="s">
        <v>1115</v>
      </c>
      <c r="J41" t="s">
        <v>1115</v>
      </c>
      <c r="K41" t="s">
        <v>1115</v>
      </c>
      <c r="L41" t="s">
        <v>1115</v>
      </c>
    </row>
    <row r="42" spans="1:12" x14ac:dyDescent="0.35">
      <c r="A42" s="22" t="s">
        <v>1119</v>
      </c>
      <c r="B42" t="s">
        <v>1115</v>
      </c>
      <c r="C42" t="s">
        <v>1080</v>
      </c>
      <c r="D42" s="2" t="str">
        <f>PROPER(Tab4_BlessuresJoueurs!A2)</f>
        <v>Rodri</v>
      </c>
      <c r="E42" s="2" t="str">
        <f>UPPER(Tab4_BlessuresJoueurs!B2)</f>
        <v>HERNÁNDEZ</v>
      </c>
      <c r="F42" t="s">
        <v>1115</v>
      </c>
      <c r="G42" t="s">
        <v>1115</v>
      </c>
      <c r="H42" t="s">
        <v>1115</v>
      </c>
      <c r="I42" t="s">
        <v>1115</v>
      </c>
      <c r="J42" t="s">
        <v>1115</v>
      </c>
      <c r="K42" t="s">
        <v>1115</v>
      </c>
      <c r="L42" s="3" t="s">
        <v>596</v>
      </c>
    </row>
    <row r="43" spans="1:12" x14ac:dyDescent="0.35">
      <c r="A43" s="22" t="s">
        <v>1119</v>
      </c>
      <c r="B43" t="s">
        <v>1115</v>
      </c>
      <c r="C43" t="s">
        <v>1080</v>
      </c>
      <c r="D43" s="2" t="str">
        <f>PROPER(Tab4_BlessuresJoueurs!A3)</f>
        <v>Dani</v>
      </c>
      <c r="E43" s="2" t="str">
        <f>UPPER(Tab4_BlessuresJoueurs!B3)</f>
        <v>CARVAJAL</v>
      </c>
      <c r="F43" t="s">
        <v>1115</v>
      </c>
      <c r="G43" t="s">
        <v>1115</v>
      </c>
      <c r="H43" t="s">
        <v>1115</v>
      </c>
      <c r="I43" t="s">
        <v>1115</v>
      </c>
      <c r="J43" t="s">
        <v>1115</v>
      </c>
      <c r="K43" t="s">
        <v>1115</v>
      </c>
      <c r="L43" s="6" t="s">
        <v>596</v>
      </c>
    </row>
    <row r="44" spans="1:12" x14ac:dyDescent="0.35">
      <c r="A44" s="22" t="s">
        <v>1119</v>
      </c>
      <c r="B44" t="s">
        <v>1115</v>
      </c>
      <c r="C44" t="s">
        <v>1080</v>
      </c>
      <c r="D44" s="2" t="str">
        <f>PROPER(Tab4_BlessuresJoueurs!A4)</f>
        <v>Eder</v>
      </c>
      <c r="E44" s="2" t="str">
        <f>UPPER(Tab4_BlessuresJoueurs!B4)</f>
        <v>MILITÃO</v>
      </c>
      <c r="F44" t="s">
        <v>1115</v>
      </c>
      <c r="G44" t="s">
        <v>1115</v>
      </c>
      <c r="H44" t="s">
        <v>1115</v>
      </c>
      <c r="I44" t="s">
        <v>1115</v>
      </c>
      <c r="J44" t="s">
        <v>1115</v>
      </c>
      <c r="K44" t="s">
        <v>1115</v>
      </c>
      <c r="L44" s="3" t="s">
        <v>596</v>
      </c>
    </row>
    <row r="45" spans="1:12" x14ac:dyDescent="0.35">
      <c r="A45" s="22" t="s">
        <v>1119</v>
      </c>
      <c r="B45" t="s">
        <v>1115</v>
      </c>
      <c r="C45" t="s">
        <v>1080</v>
      </c>
      <c r="D45" s="2" t="str">
        <f>PROPER(Tab4_BlessuresJoueurs!A5)</f>
        <v>Mauro</v>
      </c>
      <c r="E45" s="2" t="str">
        <f>UPPER(Tab4_BlessuresJoueurs!B5)</f>
        <v>ICARDI</v>
      </c>
      <c r="F45" t="s">
        <v>1115</v>
      </c>
      <c r="G45" t="s">
        <v>1115</v>
      </c>
      <c r="H45" t="s">
        <v>1115</v>
      </c>
      <c r="I45" t="s">
        <v>1115</v>
      </c>
      <c r="J45" t="s">
        <v>1115</v>
      </c>
      <c r="K45" t="s">
        <v>1115</v>
      </c>
      <c r="L45" s="8" t="s">
        <v>596</v>
      </c>
    </row>
    <row r="46" spans="1:12" x14ac:dyDescent="0.35">
      <c r="A46" s="22" t="s">
        <v>1119</v>
      </c>
      <c r="B46" t="s">
        <v>1115</v>
      </c>
      <c r="C46" t="s">
        <v>1080</v>
      </c>
      <c r="D46" s="2" t="str">
        <f>PROPER(Tab4_BlessuresJoueurs!A6)</f>
        <v>Gianluca</v>
      </c>
      <c r="E46" s="2" t="str">
        <f>UPPER(Tab4_BlessuresJoueurs!B6)</f>
        <v>SCAMACCA</v>
      </c>
      <c r="F46" t="s">
        <v>1115</v>
      </c>
      <c r="G46" t="s">
        <v>1115</v>
      </c>
      <c r="H46" t="s">
        <v>1115</v>
      </c>
      <c r="I46" t="s">
        <v>1115</v>
      </c>
      <c r="J46" t="s">
        <v>1115</v>
      </c>
      <c r="K46" t="s">
        <v>1115</v>
      </c>
      <c r="L46" s="3" t="s">
        <v>596</v>
      </c>
    </row>
    <row r="47" spans="1:12" x14ac:dyDescent="0.35">
      <c r="A47" s="22" t="s">
        <v>1119</v>
      </c>
      <c r="B47" t="s">
        <v>1115</v>
      </c>
      <c r="C47" t="s">
        <v>1080</v>
      </c>
      <c r="D47" s="2" t="str">
        <f>PROPER(Tab4_BlessuresJoueurs!A7)</f>
        <v>Gleison</v>
      </c>
      <c r="E47" s="2" t="str">
        <f>UPPER(Tab4_BlessuresJoueurs!B7)</f>
        <v>BREMER</v>
      </c>
      <c r="F47" t="s">
        <v>1115</v>
      </c>
      <c r="G47" t="s">
        <v>1115</v>
      </c>
      <c r="H47" t="s">
        <v>1115</v>
      </c>
      <c r="I47" t="s">
        <v>1115</v>
      </c>
      <c r="J47" t="s">
        <v>1115</v>
      </c>
      <c r="K47" t="s">
        <v>1115</v>
      </c>
      <c r="L47" s="3" t="s">
        <v>596</v>
      </c>
    </row>
    <row r="48" spans="1:12" x14ac:dyDescent="0.35">
      <c r="A48" s="22" t="s">
        <v>1119</v>
      </c>
      <c r="B48" t="s">
        <v>1115</v>
      </c>
      <c r="C48" t="s">
        <v>1080</v>
      </c>
      <c r="D48" s="2" t="str">
        <f>PROPER(Tab4_BlessuresJoueurs!A8)</f>
        <v>Alessandro</v>
      </c>
      <c r="E48" s="2" t="str">
        <f>UPPER(Tab4_BlessuresJoueurs!B8)</f>
        <v>FLORENZI</v>
      </c>
      <c r="F48" t="s">
        <v>1115</v>
      </c>
      <c r="G48" t="s">
        <v>1115</v>
      </c>
      <c r="H48" t="s">
        <v>1115</v>
      </c>
      <c r="I48" t="s">
        <v>1115</v>
      </c>
      <c r="J48" t="s">
        <v>1115</v>
      </c>
      <c r="K48" t="s">
        <v>1115</v>
      </c>
      <c r="L48" s="3" t="s">
        <v>596</v>
      </c>
    </row>
    <row r="49" spans="1:12" x14ac:dyDescent="0.35">
      <c r="A49" s="22" t="s">
        <v>1119</v>
      </c>
      <c r="B49" t="s">
        <v>1115</v>
      </c>
      <c r="C49" t="s">
        <v>1080</v>
      </c>
      <c r="D49" s="2" t="str">
        <f>PROPER(Tab4_BlessuresJoueurs!A9)</f>
        <v>Sven</v>
      </c>
      <c r="E49" s="2" t="str">
        <f>UPPER(Tab4_BlessuresJoueurs!B9)</f>
        <v>BOTMAN</v>
      </c>
      <c r="F49" t="s">
        <v>1115</v>
      </c>
      <c r="G49" t="s">
        <v>1115</v>
      </c>
      <c r="H49" t="s">
        <v>1115</v>
      </c>
      <c r="I49" t="s">
        <v>1115</v>
      </c>
      <c r="J49" t="s">
        <v>1115</v>
      </c>
      <c r="K49" t="s">
        <v>1115</v>
      </c>
      <c r="L49" s="3" t="s">
        <v>596</v>
      </c>
    </row>
    <row r="50" spans="1:12" x14ac:dyDescent="0.35">
      <c r="A50" s="22" t="s">
        <v>1119</v>
      </c>
      <c r="B50" t="s">
        <v>1115</v>
      </c>
      <c r="C50" t="s">
        <v>1080</v>
      </c>
      <c r="D50" s="2" t="str">
        <f>PROPER(Tab4_BlessuresJoueurs!A10)</f>
        <v>Duván</v>
      </c>
      <c r="E50" s="2" t="str">
        <f>UPPER(Tab4_BlessuresJoueurs!B10)</f>
        <v>ZAPATA</v>
      </c>
      <c r="F50" t="s">
        <v>1115</v>
      </c>
      <c r="G50" t="s">
        <v>1115</v>
      </c>
      <c r="H50" t="s">
        <v>1115</v>
      </c>
      <c r="I50" t="s">
        <v>1115</v>
      </c>
      <c r="J50" t="s">
        <v>1115</v>
      </c>
      <c r="K50" t="s">
        <v>1115</v>
      </c>
      <c r="L50" s="3" t="s">
        <v>596</v>
      </c>
    </row>
    <row r="51" spans="1:12" x14ac:dyDescent="0.35">
      <c r="A51" s="22" t="s">
        <v>1119</v>
      </c>
      <c r="B51" t="s">
        <v>1115</v>
      </c>
      <c r="C51" t="s">
        <v>1080</v>
      </c>
      <c r="D51" s="2" t="str">
        <f>PROPER(Tab4_BlessuresJoueurs!A11)</f>
        <v>Terem</v>
      </c>
      <c r="E51" s="2" t="str">
        <f>UPPER(Tab4_BlessuresJoueurs!B11)</f>
        <v>MOFFI</v>
      </c>
      <c r="F51" t="s">
        <v>1115</v>
      </c>
      <c r="G51" t="s">
        <v>1115</v>
      </c>
      <c r="H51" t="s">
        <v>1115</v>
      </c>
      <c r="I51" t="s">
        <v>1115</v>
      </c>
      <c r="J51" t="s">
        <v>1115</v>
      </c>
      <c r="K51" t="s">
        <v>1115</v>
      </c>
      <c r="L51" s="3" t="s">
        <v>614</v>
      </c>
    </row>
    <row r="52" spans="1:12" x14ac:dyDescent="0.35">
      <c r="A52" s="22" t="s">
        <v>1119</v>
      </c>
      <c r="B52" t="s">
        <v>1115</v>
      </c>
      <c r="C52" t="s">
        <v>1080</v>
      </c>
      <c r="D52" s="2" t="str">
        <f>PROPER(Tab4_BlessuresJoueurs!A12)</f>
        <v>Tiago</v>
      </c>
      <c r="E52" s="2" t="str">
        <f>UPPER(Tab4_BlessuresJoueurs!B12)</f>
        <v>SANTOS</v>
      </c>
      <c r="F52" t="s">
        <v>1115</v>
      </c>
      <c r="G52" t="s">
        <v>1115</v>
      </c>
      <c r="H52" t="s">
        <v>1115</v>
      </c>
      <c r="I52" t="s">
        <v>1115</v>
      </c>
      <c r="J52" t="s">
        <v>1115</v>
      </c>
      <c r="K52" t="s">
        <v>1115</v>
      </c>
      <c r="L52" s="3" t="s">
        <v>614</v>
      </c>
    </row>
    <row r="53" spans="1:12" x14ac:dyDescent="0.35">
      <c r="A53" s="22" t="s">
        <v>1119</v>
      </c>
      <c r="B53" t="s">
        <v>1115</v>
      </c>
      <c r="C53" t="s">
        <v>1080</v>
      </c>
      <c r="D53" s="2" t="str">
        <f>PROPER(Tab4_BlessuresJoueurs!A13)</f>
        <v>Moïse</v>
      </c>
      <c r="E53" s="2" t="str">
        <f>UPPER(Tab4_BlessuresJoueurs!B13)</f>
        <v>SAHI DION</v>
      </c>
      <c r="F53" t="s">
        <v>1115</v>
      </c>
      <c r="G53" t="s">
        <v>1115</v>
      </c>
      <c r="H53" t="s">
        <v>1115</v>
      </c>
      <c r="I53" t="s">
        <v>1115</v>
      </c>
      <c r="J53" t="s">
        <v>1115</v>
      </c>
      <c r="K53" t="s">
        <v>1115</v>
      </c>
      <c r="L53" s="3" t="s">
        <v>619</v>
      </c>
    </row>
    <row r="54" spans="1:12" x14ac:dyDescent="0.35">
      <c r="A54" s="22" t="s">
        <v>1119</v>
      </c>
      <c r="B54" t="s">
        <v>1115</v>
      </c>
      <c r="C54" t="s">
        <v>1080</v>
      </c>
      <c r="D54" s="2" t="str">
        <f>PROPER(Tab4_BlessuresJoueurs!A14)</f>
        <v>Abdoulaye</v>
      </c>
      <c r="E54" s="2" t="str">
        <f>UPPER(Tab4_BlessuresJoueurs!B14)</f>
        <v>TOURÉ</v>
      </c>
      <c r="F54" t="s">
        <v>1115</v>
      </c>
      <c r="G54" t="s">
        <v>1115</v>
      </c>
      <c r="H54" t="s">
        <v>1115</v>
      </c>
      <c r="I54" t="s">
        <v>1115</v>
      </c>
      <c r="J54" t="s">
        <v>1115</v>
      </c>
      <c r="K54" t="s">
        <v>1115</v>
      </c>
      <c r="L54" s="3" t="s">
        <v>622</v>
      </c>
    </row>
    <row r="55" spans="1:12" x14ac:dyDescent="0.35">
      <c r="A55" s="22" t="s">
        <v>1119</v>
      </c>
      <c r="B55" t="s">
        <v>1115</v>
      </c>
      <c r="C55" t="s">
        <v>1080</v>
      </c>
      <c r="D55" s="2" t="str">
        <f>PROPER(Tab4_BlessuresJoueurs!A15)</f>
        <v>Elysée</v>
      </c>
      <c r="E55" s="2" t="str">
        <f>UPPER(Tab4_BlessuresJoueurs!B15)</f>
        <v>LOGBO</v>
      </c>
      <c r="F55" t="s">
        <v>1115</v>
      </c>
      <c r="G55" t="s">
        <v>1115</v>
      </c>
      <c r="H55" t="s">
        <v>1115</v>
      </c>
      <c r="I55" t="s">
        <v>1115</v>
      </c>
      <c r="J55" t="s">
        <v>1115</v>
      </c>
      <c r="K55" t="s">
        <v>1115</v>
      </c>
      <c r="L55" s="3" t="s">
        <v>625</v>
      </c>
    </row>
    <row r="56" spans="1:12" x14ac:dyDescent="0.35">
      <c r="A56" s="22" t="s">
        <v>1119</v>
      </c>
      <c r="B56" t="s">
        <v>1115</v>
      </c>
      <c r="C56" t="s">
        <v>1080</v>
      </c>
      <c r="D56" s="2" t="str">
        <f>PROPER(Tab4_BlessuresJoueurs!A16)</f>
        <v>Lucas</v>
      </c>
      <c r="E56" s="2" t="str">
        <f>UPPER(Tab4_BlessuresJoueurs!B16)</f>
        <v>MINCARELLI</v>
      </c>
      <c r="F56" t="s">
        <v>1115</v>
      </c>
      <c r="G56" t="s">
        <v>1115</v>
      </c>
      <c r="H56" t="s">
        <v>1115</v>
      </c>
      <c r="I56" t="s">
        <v>1115</v>
      </c>
      <c r="J56" t="s">
        <v>1115</v>
      </c>
      <c r="K56" t="s">
        <v>1115</v>
      </c>
      <c r="L56" s="3" t="s">
        <v>628</v>
      </c>
    </row>
    <row r="57" spans="1:12" x14ac:dyDescent="0.35">
      <c r="A57" s="22" t="s">
        <v>1119</v>
      </c>
      <c r="B57" t="s">
        <v>1115</v>
      </c>
      <c r="C57" t="s">
        <v>1080</v>
      </c>
      <c r="D57" s="2" t="str">
        <f>PROPER(Tab4_BlessuresJoueurs!A17)</f>
        <v>Glenn</v>
      </c>
      <c r="E57" s="2" t="str">
        <f>UPPER(Tab4_BlessuresJoueurs!B17)</f>
        <v>NGOSSO</v>
      </c>
      <c r="F57" t="s">
        <v>1115</v>
      </c>
      <c r="G57" t="s">
        <v>1115</v>
      </c>
      <c r="H57" t="s">
        <v>1115</v>
      </c>
      <c r="I57" t="s">
        <v>1115</v>
      </c>
      <c r="J57" t="s">
        <v>1115</v>
      </c>
      <c r="K57" t="s">
        <v>1115</v>
      </c>
      <c r="L57" s="3" t="s">
        <v>614</v>
      </c>
    </row>
    <row r="58" spans="1:12" x14ac:dyDescent="0.35">
      <c r="A58" s="22" t="s">
        <v>1119</v>
      </c>
      <c r="B58" t="s">
        <v>1115</v>
      </c>
      <c r="C58" t="s">
        <v>1080</v>
      </c>
      <c r="D58" s="2" t="str">
        <f>PROPER(Tab4_BlessuresJoueurs!A18)</f>
        <v>Tino</v>
      </c>
      <c r="E58" s="2" t="str">
        <f>UPPER(Tab4_BlessuresJoueurs!B18)</f>
        <v>KADEWERE</v>
      </c>
      <c r="F58" t="s">
        <v>1115</v>
      </c>
      <c r="G58" t="s">
        <v>1115</v>
      </c>
      <c r="H58" t="s">
        <v>1115</v>
      </c>
      <c r="I58" t="s">
        <v>1115</v>
      </c>
      <c r="J58" t="s">
        <v>1115</v>
      </c>
      <c r="K58" t="s">
        <v>1115</v>
      </c>
      <c r="L58" s="3" t="s">
        <v>633</v>
      </c>
    </row>
    <row r="59" spans="1:12" x14ac:dyDescent="0.35">
      <c r="A59" s="22" t="s">
        <v>1119</v>
      </c>
      <c r="B59" t="s">
        <v>1115</v>
      </c>
      <c r="C59" t="s">
        <v>1080</v>
      </c>
      <c r="D59" s="2" t="str">
        <f>PROPER(Tab4_BlessuresJoueurs!A19)</f>
        <v>Samuel</v>
      </c>
      <c r="E59" s="2" t="str">
        <f>UPPER(Tab4_BlessuresJoueurs!B19)</f>
        <v>UMTITI</v>
      </c>
      <c r="F59" t="s">
        <v>1115</v>
      </c>
      <c r="G59" t="s">
        <v>1115</v>
      </c>
      <c r="H59" t="s">
        <v>1115</v>
      </c>
      <c r="I59" t="s">
        <v>1115</v>
      </c>
      <c r="J59" t="s">
        <v>1115</v>
      </c>
      <c r="K59" t="s">
        <v>1115</v>
      </c>
      <c r="L59" s="3" t="s">
        <v>635</v>
      </c>
    </row>
    <row r="60" spans="1:12" x14ac:dyDescent="0.35">
      <c r="A60" s="22" t="s">
        <v>1119</v>
      </c>
      <c r="B60" t="s">
        <v>1115</v>
      </c>
      <c r="C60" t="s">
        <v>1080</v>
      </c>
      <c r="D60" s="2" t="str">
        <f>PROPER(Tab4_BlessuresJoueurs!A20)</f>
        <v>Nabil</v>
      </c>
      <c r="E60" s="2" t="str">
        <f>UPPER(Tab4_BlessuresJoueurs!B20)</f>
        <v>BENTALEB</v>
      </c>
      <c r="F60" t="s">
        <v>1115</v>
      </c>
      <c r="G60" t="s">
        <v>1115</v>
      </c>
      <c r="H60" t="s">
        <v>1115</v>
      </c>
      <c r="I60" t="s">
        <v>1115</v>
      </c>
      <c r="J60" t="s">
        <v>1115</v>
      </c>
      <c r="K60" t="s">
        <v>1115</v>
      </c>
      <c r="L60" s="3" t="s">
        <v>638</v>
      </c>
    </row>
    <row r="61" spans="1:12" x14ac:dyDescent="0.35">
      <c r="A61" s="22" t="s">
        <v>1119</v>
      </c>
      <c r="B61" t="s">
        <v>1115</v>
      </c>
      <c r="C61" t="s">
        <v>1080</v>
      </c>
      <c r="D61" s="2" t="str">
        <f>PROPER(Tab4_BlessuresJoueurs!A21)</f>
        <v>Matias</v>
      </c>
      <c r="E61" s="2" t="str">
        <f>UPPER(Tab4_BlessuresJoueurs!B21)</f>
        <v>FERNANDEZ-PARDO</v>
      </c>
      <c r="F61" t="s">
        <v>1115</v>
      </c>
      <c r="G61" t="s">
        <v>1115</v>
      </c>
      <c r="H61" t="s">
        <v>1115</v>
      </c>
      <c r="I61" t="s">
        <v>1115</v>
      </c>
      <c r="J61" t="s">
        <v>1115</v>
      </c>
      <c r="K61" t="s">
        <v>1115</v>
      </c>
      <c r="L61" s="3" t="s">
        <v>641</v>
      </c>
    </row>
    <row r="62" spans="1:12" x14ac:dyDescent="0.35">
      <c r="A62" s="22" t="s">
        <v>1119</v>
      </c>
      <c r="B62" t="s">
        <v>1115</v>
      </c>
      <c r="C62" t="s">
        <v>1080</v>
      </c>
      <c r="D62" s="2" t="str">
        <f>PROPER(Tab4_BlessuresJoueurs!A22)</f>
        <v>Daler</v>
      </c>
      <c r="E62" s="2" t="str">
        <f>UPPER(Tab4_BlessuresJoueurs!B22)</f>
        <v>KUZYAEV</v>
      </c>
      <c r="F62" t="s">
        <v>1115</v>
      </c>
      <c r="G62" t="s">
        <v>1115</v>
      </c>
      <c r="H62" t="s">
        <v>1115</v>
      </c>
      <c r="I62" t="s">
        <v>1115</v>
      </c>
      <c r="J62" t="s">
        <v>1115</v>
      </c>
      <c r="K62" t="s">
        <v>1115</v>
      </c>
      <c r="L62" s="3" t="s">
        <v>644</v>
      </c>
    </row>
    <row r="63" spans="1:12" x14ac:dyDescent="0.35">
      <c r="A63" s="22" t="s">
        <v>1119</v>
      </c>
      <c r="B63" t="s">
        <v>1115</v>
      </c>
      <c r="C63" t="s">
        <v>1080</v>
      </c>
      <c r="D63" s="2" t="str">
        <f>PROPER(Tab4_BlessuresJoueurs!A23)</f>
        <v>Sidiki</v>
      </c>
      <c r="E63" s="2" t="str">
        <f>UPPER(Tab4_BlessuresJoueurs!B23)</f>
        <v>CHÉRIF</v>
      </c>
      <c r="F63" t="s">
        <v>1115</v>
      </c>
      <c r="G63" t="s">
        <v>1115</v>
      </c>
      <c r="H63" t="s">
        <v>1115</v>
      </c>
      <c r="I63" t="s">
        <v>1115</v>
      </c>
      <c r="J63" t="s">
        <v>1115</v>
      </c>
      <c r="K63" t="s">
        <v>1115</v>
      </c>
      <c r="L63" s="3" t="s">
        <v>628</v>
      </c>
    </row>
    <row r="64" spans="1:12" x14ac:dyDescent="0.35">
      <c r="A64" s="22" t="s">
        <v>1119</v>
      </c>
      <c r="B64" t="s">
        <v>1115</v>
      </c>
      <c r="C64" t="s">
        <v>1080</v>
      </c>
      <c r="D64" s="2" t="str">
        <f>PROPER(Tab4_BlessuresJoueurs!A24)</f>
        <v>Aïmen</v>
      </c>
      <c r="E64" s="2" t="str">
        <f>UPPER(Tab4_BlessuresJoueurs!B24)</f>
        <v>MOUEFFEK</v>
      </c>
      <c r="F64" t="s">
        <v>1115</v>
      </c>
      <c r="G64" t="s">
        <v>1115</v>
      </c>
      <c r="H64" t="s">
        <v>1115</v>
      </c>
      <c r="I64" t="s">
        <v>1115</v>
      </c>
      <c r="J64" t="s">
        <v>1115</v>
      </c>
      <c r="K64" t="s">
        <v>1115</v>
      </c>
      <c r="L64" s="3" t="s">
        <v>649</v>
      </c>
    </row>
    <row r="65" spans="1:12" x14ac:dyDescent="0.35">
      <c r="A65" s="22" t="s">
        <v>1119</v>
      </c>
      <c r="B65" t="s">
        <v>1115</v>
      </c>
      <c r="C65" t="s">
        <v>1080</v>
      </c>
      <c r="D65" s="2" t="str">
        <f>PROPER(Tab4_BlessuresJoueurs!A25)</f>
        <v>Yvann</v>
      </c>
      <c r="E65" s="2" t="str">
        <f>UPPER(Tab4_BlessuresJoueurs!B25)</f>
        <v>MAÇON</v>
      </c>
      <c r="F65" t="s">
        <v>1115</v>
      </c>
      <c r="G65" t="s">
        <v>1115</v>
      </c>
      <c r="H65" t="s">
        <v>1115</v>
      </c>
      <c r="I65" t="s">
        <v>1115</v>
      </c>
      <c r="J65" t="s">
        <v>1115</v>
      </c>
      <c r="K65" t="s">
        <v>1115</v>
      </c>
      <c r="L65" s="3" t="s">
        <v>652</v>
      </c>
    </row>
    <row r="66" spans="1:12" x14ac:dyDescent="0.35">
      <c r="A66" s="22" t="s">
        <v>1119</v>
      </c>
      <c r="B66" t="s">
        <v>1115</v>
      </c>
      <c r="C66" t="s">
        <v>1080</v>
      </c>
      <c r="D66" s="2" t="str">
        <f>PROPER(Tab4_BlessuresJoueurs!A26)</f>
        <v>Folarin</v>
      </c>
      <c r="E66" s="2" t="str">
        <f>UPPER(Tab4_BlessuresJoueurs!B26)</f>
        <v>BALOGUN</v>
      </c>
      <c r="F66" t="s">
        <v>1115</v>
      </c>
      <c r="G66" t="s">
        <v>1115</v>
      </c>
      <c r="H66" t="s">
        <v>1115</v>
      </c>
      <c r="I66" t="s">
        <v>1115</v>
      </c>
      <c r="J66" t="s">
        <v>1115</v>
      </c>
      <c r="K66" t="s">
        <v>1115</v>
      </c>
      <c r="L66" s="3" t="s">
        <v>625</v>
      </c>
    </row>
    <row r="67" spans="1:12" x14ac:dyDescent="0.35">
      <c r="A67" s="22" t="s">
        <v>1119</v>
      </c>
      <c r="B67" t="s">
        <v>1115</v>
      </c>
      <c r="C67" t="s">
        <v>1080</v>
      </c>
      <c r="D67" s="2" t="str">
        <f>PROPER(Tab4_BlessuresJoueurs!A27)</f>
        <v>Lasso</v>
      </c>
      <c r="E67" s="2" t="str">
        <f>UPPER(Tab4_BlessuresJoueurs!B27)</f>
        <v>COULIBALY</v>
      </c>
      <c r="F67" t="s">
        <v>1115</v>
      </c>
      <c r="G67" t="s">
        <v>1115</v>
      </c>
      <c r="H67" t="s">
        <v>1115</v>
      </c>
      <c r="I67" t="s">
        <v>1115</v>
      </c>
      <c r="J67" t="s">
        <v>1115</v>
      </c>
      <c r="K67" t="s">
        <v>1115</v>
      </c>
      <c r="L67" s="3" t="s">
        <v>655</v>
      </c>
    </row>
    <row r="68" spans="1:12" x14ac:dyDescent="0.35">
      <c r="A68" s="22" t="s">
        <v>1119</v>
      </c>
      <c r="B68" t="s">
        <v>1115</v>
      </c>
      <c r="C68" t="s">
        <v>1080</v>
      </c>
      <c r="D68" s="2" t="str">
        <f>PROPER(Tab4_BlessuresJoueurs!A28)</f>
        <v>Rémy</v>
      </c>
      <c r="E68" s="2" t="str">
        <f>UPPER(Tab4_BlessuresJoueurs!B28)</f>
        <v>LABEAU LASCARY</v>
      </c>
      <c r="F68" t="s">
        <v>1115</v>
      </c>
      <c r="G68" t="s">
        <v>1115</v>
      </c>
      <c r="H68" t="s">
        <v>1115</v>
      </c>
      <c r="I68" t="s">
        <v>1115</v>
      </c>
      <c r="J68" t="s">
        <v>1115</v>
      </c>
      <c r="K68" t="s">
        <v>1115</v>
      </c>
      <c r="L68" s="3" t="s">
        <v>614</v>
      </c>
    </row>
    <row r="69" spans="1:12" x14ac:dyDescent="0.35">
      <c r="A69" s="22" t="s">
        <v>1119</v>
      </c>
      <c r="B69" t="s">
        <v>1115</v>
      </c>
      <c r="C69" t="s">
        <v>1080</v>
      </c>
      <c r="D69" s="2" t="str">
        <f>PROPER(Tab4_BlessuresJoueurs!A29)</f>
        <v>Nikola</v>
      </c>
      <c r="E69" s="2" t="str">
        <f>UPPER(Tab4_BlessuresJoueurs!B29)</f>
        <v>MAKSIMOVIĆ</v>
      </c>
      <c r="F69" t="s">
        <v>1115</v>
      </c>
      <c r="G69" t="s">
        <v>1115</v>
      </c>
      <c r="H69" t="s">
        <v>1115</v>
      </c>
      <c r="I69" t="s">
        <v>1115</v>
      </c>
      <c r="J69" t="s">
        <v>1115</v>
      </c>
      <c r="K69" t="s">
        <v>1115</v>
      </c>
      <c r="L69" s="3" t="s">
        <v>660</v>
      </c>
    </row>
    <row r="70" spans="1:12" x14ac:dyDescent="0.35">
      <c r="A70" s="22" t="s">
        <v>1119</v>
      </c>
      <c r="B70" t="s">
        <v>1115</v>
      </c>
      <c r="C70" t="s">
        <v>1080</v>
      </c>
      <c r="D70" s="2" t="str">
        <f>PROPER(Tab4_BlessuresJoueurs!A30)</f>
        <v>Valentín</v>
      </c>
      <c r="E70" s="2" t="str">
        <f>UPPER(Tab4_BlessuresJoueurs!B30)</f>
        <v>CARBONI</v>
      </c>
      <c r="F70" t="s">
        <v>1115</v>
      </c>
      <c r="G70" t="s">
        <v>1115</v>
      </c>
      <c r="H70" t="s">
        <v>1115</v>
      </c>
      <c r="I70" t="s">
        <v>1115</v>
      </c>
      <c r="J70" t="s">
        <v>1115</v>
      </c>
      <c r="K70" t="s">
        <v>1115</v>
      </c>
      <c r="L70" s="3" t="s">
        <v>614</v>
      </c>
    </row>
    <row r="71" spans="1:12" x14ac:dyDescent="0.35">
      <c r="A71" s="22" t="s">
        <v>1119</v>
      </c>
      <c r="B71" t="s">
        <v>1115</v>
      </c>
      <c r="C71" t="s">
        <v>1080</v>
      </c>
      <c r="D71" s="2" t="str">
        <f>PROPER(Tab4_BlessuresJoueurs!A31)</f>
        <v>Nathan</v>
      </c>
      <c r="E71" s="2" t="str">
        <f>UPPER(Tab4_BlessuresJoueurs!B31)</f>
        <v>BUAYI-KIALA</v>
      </c>
      <c r="F71" t="s">
        <v>1115</v>
      </c>
      <c r="G71" t="s">
        <v>1115</v>
      </c>
      <c r="H71" t="s">
        <v>1115</v>
      </c>
      <c r="I71" t="s">
        <v>1115</v>
      </c>
      <c r="J71" t="s">
        <v>1115</v>
      </c>
      <c r="K71" t="s">
        <v>1115</v>
      </c>
      <c r="L71" s="3" t="s">
        <v>655</v>
      </c>
    </row>
    <row r="72" spans="1:12" x14ac:dyDescent="0.35">
      <c r="A72" s="22" t="s">
        <v>1119</v>
      </c>
      <c r="B72" t="s">
        <v>1115</v>
      </c>
      <c r="C72" t="s">
        <v>1080</v>
      </c>
      <c r="D72" s="2" t="str">
        <f>PROPER(Tab4_BlessuresJoueurs!A32)</f>
        <v>Gabriel</v>
      </c>
      <c r="E72" s="2" t="str">
        <f>UPPER(Tab4_BlessuresJoueurs!B32)</f>
        <v>JESÚS</v>
      </c>
      <c r="F72" t="s">
        <v>1115</v>
      </c>
      <c r="G72" t="s">
        <v>1115</v>
      </c>
      <c r="H72" t="s">
        <v>1115</v>
      </c>
      <c r="I72" t="s">
        <v>1115</v>
      </c>
      <c r="J72" t="s">
        <v>1115</v>
      </c>
      <c r="K72" t="s">
        <v>1115</v>
      </c>
      <c r="L72" s="3" t="s">
        <v>677</v>
      </c>
    </row>
    <row r="73" spans="1:12" x14ac:dyDescent="0.35">
      <c r="A73" s="22" t="s">
        <v>1119</v>
      </c>
      <c r="B73" t="s">
        <v>1115</v>
      </c>
      <c r="C73" t="s">
        <v>1080</v>
      </c>
      <c r="D73" s="2" t="str">
        <f>PROPER(Tab4_BlessuresJoueurs!A33)</f>
        <v>Raphaël</v>
      </c>
      <c r="E73" s="2" t="str">
        <f>UPPER(Tab4_BlessuresJoueurs!B33)</f>
        <v>VARANE</v>
      </c>
      <c r="F73" t="s">
        <v>1115</v>
      </c>
      <c r="G73" t="s">
        <v>1115</v>
      </c>
      <c r="H73" t="s">
        <v>1115</v>
      </c>
      <c r="I73" t="s">
        <v>1115</v>
      </c>
      <c r="J73" t="s">
        <v>1115</v>
      </c>
      <c r="K73" t="s">
        <v>1115</v>
      </c>
      <c r="L73" s="3" t="s">
        <v>678</v>
      </c>
    </row>
    <row r="74" spans="1:12" x14ac:dyDescent="0.35">
      <c r="A74" s="22" t="s">
        <v>1119</v>
      </c>
      <c r="B74" t="s">
        <v>1115</v>
      </c>
      <c r="C74" t="s">
        <v>1080</v>
      </c>
      <c r="D74" s="2" t="str">
        <f>PROPER(Tab4_BlessuresJoueurs!A34)</f>
        <v>José</v>
      </c>
      <c r="E74" s="2" t="str">
        <f>UPPER(Tab4_BlessuresJoueurs!B34)</f>
        <v>GRAGERA</v>
      </c>
      <c r="F74" t="s">
        <v>1115</v>
      </c>
      <c r="G74" t="s">
        <v>1115</v>
      </c>
      <c r="H74" t="s">
        <v>1115</v>
      </c>
      <c r="I74" t="s">
        <v>1115</v>
      </c>
      <c r="J74" t="s">
        <v>1115</v>
      </c>
      <c r="K74" t="s">
        <v>1115</v>
      </c>
      <c r="L74" s="3" t="s">
        <v>679</v>
      </c>
    </row>
    <row r="75" spans="1:12" x14ac:dyDescent="0.35">
      <c r="A75" s="22" t="s">
        <v>1119</v>
      </c>
      <c r="B75" t="s">
        <v>1115</v>
      </c>
      <c r="C75" t="s">
        <v>1080</v>
      </c>
      <c r="D75" s="2" t="str">
        <f>PROPER(Tab4_BlessuresJoueurs!A35)</f>
        <v>José Luis</v>
      </c>
      <c r="E75" s="2" t="str">
        <f>UPPER(Tab4_BlessuresJoueurs!B35)</f>
        <v>CATALÁ</v>
      </c>
      <c r="F75" t="s">
        <v>1115</v>
      </c>
      <c r="G75" t="s">
        <v>1115</v>
      </c>
      <c r="H75" t="s">
        <v>1115</v>
      </c>
      <c r="I75" t="s">
        <v>1115</v>
      </c>
      <c r="J75" t="s">
        <v>1115</v>
      </c>
      <c r="K75" t="s">
        <v>1115</v>
      </c>
      <c r="L75" s="3" t="s">
        <v>680</v>
      </c>
    </row>
    <row r="76" spans="1:12" x14ac:dyDescent="0.35">
      <c r="A76" s="22" t="s">
        <v>1119</v>
      </c>
      <c r="B76" t="s">
        <v>1115</v>
      </c>
      <c r="C76" t="s">
        <v>1080</v>
      </c>
      <c r="D76" s="2" t="str">
        <f>PROPER(Tab4_BlessuresJoueurs!A36)</f>
        <v>Marc-André</v>
      </c>
      <c r="E76" s="2" t="str">
        <f>UPPER(Tab4_BlessuresJoueurs!B36)</f>
        <v>TER STEGEN</v>
      </c>
      <c r="F76" t="s">
        <v>1115</v>
      </c>
      <c r="G76" t="s">
        <v>1115</v>
      </c>
      <c r="H76" t="s">
        <v>1115</v>
      </c>
      <c r="I76" t="s">
        <v>1115</v>
      </c>
      <c r="J76" t="s">
        <v>1115</v>
      </c>
      <c r="K76" t="s">
        <v>1115</v>
      </c>
      <c r="L76" s="3" t="s">
        <v>681</v>
      </c>
    </row>
    <row r="77" spans="1:12" x14ac:dyDescent="0.35">
      <c r="A77" s="22" t="s">
        <v>1119</v>
      </c>
      <c r="B77" t="s">
        <v>1115</v>
      </c>
      <c r="C77" t="s">
        <v>1080</v>
      </c>
      <c r="D77" s="2" t="str">
        <f>PROPER(Tab4_BlessuresJoueurs!A37)</f>
        <v>Rodri</v>
      </c>
      <c r="E77" s="2" t="str">
        <f>UPPER(Tab4_BlessuresJoueurs!B37)</f>
        <v>HERNÁNDEZ</v>
      </c>
      <c r="F77" t="s">
        <v>1115</v>
      </c>
      <c r="G77" t="s">
        <v>1115</v>
      </c>
      <c r="H77" t="s">
        <v>1115</v>
      </c>
      <c r="I77" t="s">
        <v>1115</v>
      </c>
      <c r="J77" t="s">
        <v>1115</v>
      </c>
      <c r="K77" t="s">
        <v>1115</v>
      </c>
      <c r="L77" s="3" t="s">
        <v>681</v>
      </c>
    </row>
    <row r="78" spans="1:12" x14ac:dyDescent="0.35">
      <c r="A78" s="22" t="s">
        <v>1119</v>
      </c>
      <c r="B78" t="s">
        <v>1115</v>
      </c>
      <c r="C78" t="s">
        <v>1080</v>
      </c>
      <c r="D78" s="2" t="str">
        <f>PROPER(Tab4_BlessuresJoueurs!A38)</f>
        <v>Dani</v>
      </c>
      <c r="E78" s="2" t="str">
        <f>UPPER(Tab4_BlessuresJoueurs!B38)</f>
        <v>CARVAJAL</v>
      </c>
      <c r="F78" t="s">
        <v>1115</v>
      </c>
      <c r="G78" t="s">
        <v>1115</v>
      </c>
      <c r="H78" t="s">
        <v>1115</v>
      </c>
      <c r="I78" t="s">
        <v>1115</v>
      </c>
      <c r="J78" t="s">
        <v>1115</v>
      </c>
      <c r="K78" t="s">
        <v>1115</v>
      </c>
      <c r="L78" s="6" t="s">
        <v>671</v>
      </c>
    </row>
    <row r="79" spans="1:12" x14ac:dyDescent="0.35">
      <c r="A79" s="22" t="s">
        <v>1119</v>
      </c>
      <c r="B79" t="s">
        <v>1115</v>
      </c>
      <c r="C79" t="s">
        <v>1080</v>
      </c>
      <c r="D79" s="2" t="str">
        <f>PROPER(Tab4_BlessuresJoueurs!A39)</f>
        <v>Eder</v>
      </c>
      <c r="E79" s="2" t="str">
        <f>UPPER(Tab4_BlessuresJoueurs!B39)</f>
        <v>MILITÃO</v>
      </c>
      <c r="F79" t="s">
        <v>1115</v>
      </c>
      <c r="G79" t="s">
        <v>1115</v>
      </c>
      <c r="H79" t="s">
        <v>1115</v>
      </c>
      <c r="I79" t="s">
        <v>1115</v>
      </c>
      <c r="J79" t="s">
        <v>1115</v>
      </c>
      <c r="K79" t="s">
        <v>1115</v>
      </c>
      <c r="L79" s="3" t="s">
        <v>671</v>
      </c>
    </row>
    <row r="80" spans="1:12" x14ac:dyDescent="0.35">
      <c r="A80" s="22" t="s">
        <v>1119</v>
      </c>
      <c r="B80" t="s">
        <v>1115</v>
      </c>
      <c r="C80" t="s">
        <v>1080</v>
      </c>
      <c r="D80" s="2" t="str">
        <f>PROPER(Tab4_BlessuresJoueurs!A40)</f>
        <v>Mauro</v>
      </c>
      <c r="E80" s="2" t="str">
        <f>UPPER(Tab4_BlessuresJoueurs!B40)</f>
        <v>ICARDI</v>
      </c>
      <c r="F80" t="s">
        <v>1115</v>
      </c>
      <c r="G80" t="s">
        <v>1115</v>
      </c>
      <c r="H80" t="s">
        <v>1115</v>
      </c>
      <c r="I80" t="s">
        <v>1115</v>
      </c>
      <c r="J80" t="s">
        <v>1115</v>
      </c>
      <c r="K80" t="s">
        <v>1115</v>
      </c>
      <c r="L80" s="8" t="s">
        <v>671</v>
      </c>
    </row>
    <row r="81" spans="1:12" x14ac:dyDescent="0.35">
      <c r="A81" s="22" t="s">
        <v>1119</v>
      </c>
      <c r="B81" t="s">
        <v>1115</v>
      </c>
      <c r="C81" t="s">
        <v>1080</v>
      </c>
      <c r="D81" s="2" t="str">
        <f>PROPER(Tab4_BlessuresJoueurs!A41)</f>
        <v>Gianluca</v>
      </c>
      <c r="E81" s="2" t="str">
        <f>UPPER(Tab4_BlessuresJoueurs!B41)</f>
        <v>SCAMACCA</v>
      </c>
      <c r="F81" t="s">
        <v>1115</v>
      </c>
      <c r="G81" t="s">
        <v>1115</v>
      </c>
      <c r="H81" t="s">
        <v>1115</v>
      </c>
      <c r="I81" t="s">
        <v>1115</v>
      </c>
      <c r="J81" t="s">
        <v>1115</v>
      </c>
      <c r="K81" t="s">
        <v>1115</v>
      </c>
      <c r="L81" s="3" t="s">
        <v>671</v>
      </c>
    </row>
    <row r="82" spans="1:12" x14ac:dyDescent="0.35">
      <c r="A82" s="22" t="s">
        <v>1119</v>
      </c>
      <c r="B82" t="s">
        <v>1115</v>
      </c>
      <c r="C82" t="s">
        <v>1080</v>
      </c>
      <c r="D82" s="2" t="str">
        <f>PROPER(Tab4_BlessuresJoueurs!A42)</f>
        <v>Gleison</v>
      </c>
      <c r="E82" s="2" t="str">
        <f>UPPER(Tab4_BlessuresJoueurs!B42)</f>
        <v>BREMER</v>
      </c>
      <c r="F82" t="s">
        <v>1115</v>
      </c>
      <c r="G82" t="s">
        <v>1115</v>
      </c>
      <c r="H82" t="s">
        <v>1115</v>
      </c>
      <c r="I82" t="s">
        <v>1115</v>
      </c>
      <c r="J82" t="s">
        <v>1115</v>
      </c>
      <c r="K82" t="s">
        <v>1115</v>
      </c>
      <c r="L82" s="3" t="s">
        <v>671</v>
      </c>
    </row>
    <row r="83" spans="1:12" x14ac:dyDescent="0.35">
      <c r="A83" s="22" t="s">
        <v>1119</v>
      </c>
      <c r="B83" t="s">
        <v>1115</v>
      </c>
      <c r="C83" t="s">
        <v>1080</v>
      </c>
      <c r="D83" s="2" t="str">
        <f>PROPER(Tab4_BlessuresJoueurs!A43)</f>
        <v>Alessandro</v>
      </c>
      <c r="E83" s="2" t="str">
        <f>UPPER(Tab4_BlessuresJoueurs!B43)</f>
        <v>FLORENZI</v>
      </c>
      <c r="F83" t="s">
        <v>1115</v>
      </c>
      <c r="G83" t="s">
        <v>1115</v>
      </c>
      <c r="H83" t="s">
        <v>1115</v>
      </c>
      <c r="I83" t="s">
        <v>1115</v>
      </c>
      <c r="J83" t="s">
        <v>1115</v>
      </c>
      <c r="K83" t="s">
        <v>1115</v>
      </c>
      <c r="L83" s="3" t="s">
        <v>671</v>
      </c>
    </row>
    <row r="84" spans="1:12" x14ac:dyDescent="0.35">
      <c r="A84" s="22" t="s">
        <v>1119</v>
      </c>
      <c r="B84" t="s">
        <v>1115</v>
      </c>
      <c r="C84" t="s">
        <v>1080</v>
      </c>
      <c r="D84" s="2" t="str">
        <f>PROPER(Tab4_BlessuresJoueurs!A44)</f>
        <v>Sven</v>
      </c>
      <c r="E84" s="2" t="str">
        <f>UPPER(Tab4_BlessuresJoueurs!B44)</f>
        <v>BOTMAN</v>
      </c>
      <c r="F84" t="s">
        <v>1115</v>
      </c>
      <c r="G84" t="s">
        <v>1115</v>
      </c>
      <c r="H84" t="s">
        <v>1115</v>
      </c>
      <c r="I84" t="s">
        <v>1115</v>
      </c>
      <c r="J84" t="s">
        <v>1115</v>
      </c>
      <c r="K84" t="s">
        <v>1115</v>
      </c>
      <c r="L84" s="3" t="s">
        <v>671</v>
      </c>
    </row>
    <row r="85" spans="1:12" x14ac:dyDescent="0.35">
      <c r="A85" s="22" t="s">
        <v>1119</v>
      </c>
      <c r="B85" t="s">
        <v>1115</v>
      </c>
      <c r="C85" t="s">
        <v>1080</v>
      </c>
      <c r="D85" s="2" t="str">
        <f>PROPER(Tab4_BlessuresJoueurs!A45)</f>
        <v>Duván</v>
      </c>
      <c r="E85" s="2" t="str">
        <f>UPPER(Tab4_BlessuresJoueurs!B45)</f>
        <v>ZAPATA</v>
      </c>
      <c r="F85" t="s">
        <v>1115</v>
      </c>
      <c r="G85" t="s">
        <v>1115</v>
      </c>
      <c r="H85" t="s">
        <v>1115</v>
      </c>
      <c r="I85" t="s">
        <v>1115</v>
      </c>
      <c r="J85" t="s">
        <v>1115</v>
      </c>
      <c r="K85" t="s">
        <v>1115</v>
      </c>
      <c r="L85" s="3" t="s">
        <v>671</v>
      </c>
    </row>
    <row r="86" spans="1:12" x14ac:dyDescent="0.35">
      <c r="A86" s="22" t="s">
        <v>1119</v>
      </c>
      <c r="B86" t="s">
        <v>1115</v>
      </c>
      <c r="C86" t="s">
        <v>1080</v>
      </c>
      <c r="D86" s="2" t="str">
        <f>PROPER(Tab4_BlessuresJoueurs!A46)</f>
        <v>Terem</v>
      </c>
      <c r="E86" s="2" t="str">
        <f>UPPER(Tab4_BlessuresJoueurs!B46)</f>
        <v>MOFFI</v>
      </c>
      <c r="F86" t="s">
        <v>1115</v>
      </c>
      <c r="G86" t="s">
        <v>1115</v>
      </c>
      <c r="H86" t="s">
        <v>1115</v>
      </c>
      <c r="I86" t="s">
        <v>1115</v>
      </c>
      <c r="J86" t="s">
        <v>1115</v>
      </c>
      <c r="K86" t="s">
        <v>1115</v>
      </c>
      <c r="L86" s="3" t="s">
        <v>671</v>
      </c>
    </row>
    <row r="87" spans="1:12" x14ac:dyDescent="0.35">
      <c r="A87" s="22" t="s">
        <v>1119</v>
      </c>
      <c r="B87" t="s">
        <v>1115</v>
      </c>
      <c r="C87" t="s">
        <v>1080</v>
      </c>
      <c r="D87" s="2" t="str">
        <f>PROPER(Tab4_BlessuresJoueurs!A47)</f>
        <v>Tiago</v>
      </c>
      <c r="E87" s="2" t="str">
        <f>UPPER(Tab4_BlessuresJoueurs!B47)</f>
        <v>SANTOS</v>
      </c>
      <c r="F87" t="s">
        <v>1115</v>
      </c>
      <c r="G87" t="s">
        <v>1115</v>
      </c>
      <c r="H87" t="s">
        <v>1115</v>
      </c>
      <c r="I87" t="s">
        <v>1115</v>
      </c>
      <c r="J87" t="s">
        <v>1115</v>
      </c>
      <c r="K87" t="s">
        <v>1115</v>
      </c>
      <c r="L87" s="3" t="s">
        <v>671</v>
      </c>
    </row>
    <row r="88" spans="1:12" x14ac:dyDescent="0.35">
      <c r="A88" s="22" t="s">
        <v>1119</v>
      </c>
      <c r="B88" t="s">
        <v>1115</v>
      </c>
      <c r="C88" t="s">
        <v>1080</v>
      </c>
      <c r="D88" s="2" t="str">
        <f>PROPER(Tab4_BlessuresJoueurs!A48)</f>
        <v>Moïse</v>
      </c>
      <c r="E88" s="2" t="str">
        <f>UPPER(Tab4_BlessuresJoueurs!B48)</f>
        <v>SAHI DION</v>
      </c>
      <c r="F88" t="s">
        <v>1115</v>
      </c>
      <c r="G88" t="s">
        <v>1115</v>
      </c>
      <c r="H88" t="s">
        <v>1115</v>
      </c>
      <c r="I88" t="s">
        <v>1115</v>
      </c>
      <c r="J88" t="s">
        <v>1115</v>
      </c>
      <c r="K88" t="s">
        <v>1115</v>
      </c>
      <c r="L88" s="3" t="s">
        <v>672</v>
      </c>
    </row>
    <row r="89" spans="1:12" x14ac:dyDescent="0.35">
      <c r="A89" s="22" t="s">
        <v>1119</v>
      </c>
      <c r="B89" t="s">
        <v>1115</v>
      </c>
      <c r="C89" t="s">
        <v>1080</v>
      </c>
      <c r="D89" s="2" t="str">
        <f>PROPER(Tab4_BlessuresJoueurs!A49)</f>
        <v>Abdoulaye</v>
      </c>
      <c r="E89" s="2" t="str">
        <f>UPPER(Tab4_BlessuresJoueurs!B49)</f>
        <v>TOURÉ</v>
      </c>
      <c r="F89" t="s">
        <v>1115</v>
      </c>
      <c r="G89" t="s">
        <v>1115</v>
      </c>
      <c r="H89" t="s">
        <v>1115</v>
      </c>
      <c r="I89" t="s">
        <v>1115</v>
      </c>
      <c r="J89" t="s">
        <v>1115</v>
      </c>
      <c r="K89" t="s">
        <v>1115</v>
      </c>
      <c r="L89" s="3" t="s">
        <v>673</v>
      </c>
    </row>
    <row r="90" spans="1:12" x14ac:dyDescent="0.35">
      <c r="A90" s="22" t="s">
        <v>1119</v>
      </c>
      <c r="B90" t="s">
        <v>1115</v>
      </c>
      <c r="C90" t="s">
        <v>1080</v>
      </c>
      <c r="D90" s="2" t="str">
        <f>PROPER(Tab4_BlessuresJoueurs!A50)</f>
        <v>Elysée</v>
      </c>
      <c r="E90" s="2" t="str">
        <f>UPPER(Tab4_BlessuresJoueurs!B50)</f>
        <v>LOGBO</v>
      </c>
      <c r="F90" t="s">
        <v>1115</v>
      </c>
      <c r="G90" t="s">
        <v>1115</v>
      </c>
      <c r="H90" t="s">
        <v>1115</v>
      </c>
      <c r="I90" t="s">
        <v>1115</v>
      </c>
      <c r="J90" t="s">
        <v>1115</v>
      </c>
      <c r="K90" t="s">
        <v>1115</v>
      </c>
      <c r="L90" s="3" t="s">
        <v>674</v>
      </c>
    </row>
    <row r="91" spans="1:12" x14ac:dyDescent="0.35">
      <c r="A91" s="22" t="s">
        <v>1119</v>
      </c>
      <c r="B91" t="s">
        <v>1115</v>
      </c>
      <c r="C91" t="s">
        <v>1080</v>
      </c>
      <c r="D91" s="2" t="str">
        <f>PROPER(Tab4_BlessuresJoueurs!A51)</f>
        <v>Lucas</v>
      </c>
      <c r="E91" s="2" t="str">
        <f>UPPER(Tab4_BlessuresJoueurs!B51)</f>
        <v>MINCARELLI</v>
      </c>
      <c r="F91" t="s">
        <v>1115</v>
      </c>
      <c r="G91" t="s">
        <v>1115</v>
      </c>
      <c r="H91" t="s">
        <v>1115</v>
      </c>
      <c r="I91" t="s">
        <v>1115</v>
      </c>
      <c r="J91" t="s">
        <v>1115</v>
      </c>
      <c r="K91" t="s">
        <v>1115</v>
      </c>
      <c r="L91" s="3" t="s">
        <v>675</v>
      </c>
    </row>
    <row r="92" spans="1:12" x14ac:dyDescent="0.35">
      <c r="A92" s="22" t="s">
        <v>1119</v>
      </c>
      <c r="B92" t="s">
        <v>1115</v>
      </c>
      <c r="C92" t="s">
        <v>1080</v>
      </c>
      <c r="D92" s="2" t="str">
        <f>PROPER(Tab4_BlessuresJoueurs!A52)</f>
        <v>Glenn</v>
      </c>
      <c r="E92" s="2" t="str">
        <f>UPPER(Tab4_BlessuresJoueurs!B52)</f>
        <v>NGOSSO</v>
      </c>
      <c r="F92" t="s">
        <v>1115</v>
      </c>
      <c r="G92" t="s">
        <v>1115</v>
      </c>
      <c r="H92" t="s">
        <v>1115</v>
      </c>
      <c r="I92" t="s">
        <v>1115</v>
      </c>
      <c r="J92" t="s">
        <v>1115</v>
      </c>
      <c r="K92" t="s">
        <v>1115</v>
      </c>
      <c r="L92" s="3" t="s">
        <v>671</v>
      </c>
    </row>
    <row r="93" spans="1:12" x14ac:dyDescent="0.35">
      <c r="A93" s="22" t="s">
        <v>1119</v>
      </c>
      <c r="B93" t="s">
        <v>1115</v>
      </c>
      <c r="C93" t="s">
        <v>1080</v>
      </c>
      <c r="D93" s="2" t="str">
        <f>PROPER(Tab4_BlessuresJoueurs!A53)</f>
        <v>Tino</v>
      </c>
      <c r="E93" s="2" t="str">
        <f>UPPER(Tab4_BlessuresJoueurs!B53)</f>
        <v>KADEWERE</v>
      </c>
      <c r="F93" t="s">
        <v>1115</v>
      </c>
      <c r="G93" t="s">
        <v>1115</v>
      </c>
      <c r="H93" t="s">
        <v>1115</v>
      </c>
      <c r="I93" t="s">
        <v>1115</v>
      </c>
      <c r="J93" t="s">
        <v>1115</v>
      </c>
      <c r="K93" t="s">
        <v>1115</v>
      </c>
      <c r="L93" s="3" t="s">
        <v>676</v>
      </c>
    </row>
    <row r="94" spans="1:12" x14ac:dyDescent="0.35">
      <c r="A94" s="25" t="s">
        <v>1122</v>
      </c>
      <c r="B94" t="s">
        <v>1115</v>
      </c>
      <c r="C94" t="s">
        <v>1221</v>
      </c>
      <c r="D94" t="s">
        <v>1130</v>
      </c>
      <c r="E94" t="s">
        <v>1191</v>
      </c>
      <c r="F94" t="s">
        <v>914</v>
      </c>
      <c r="G94" t="s">
        <v>913</v>
      </c>
      <c r="H94">
        <v>1989</v>
      </c>
      <c r="I94" t="s">
        <v>915</v>
      </c>
      <c r="J94">
        <v>200</v>
      </c>
      <c r="K94">
        <v>120</v>
      </c>
      <c r="L94" s="3" t="s">
        <v>1115</v>
      </c>
    </row>
    <row r="95" spans="1:12" x14ac:dyDescent="0.35">
      <c r="A95" s="25" t="s">
        <v>1122</v>
      </c>
      <c r="B95" t="s">
        <v>1115</v>
      </c>
      <c r="C95" t="s">
        <v>1221</v>
      </c>
      <c r="D95" t="s">
        <v>1132</v>
      </c>
      <c r="E95" t="s">
        <v>1192</v>
      </c>
      <c r="F95" t="s">
        <v>917</v>
      </c>
      <c r="G95" t="s">
        <v>913</v>
      </c>
      <c r="H95">
        <v>1985</v>
      </c>
      <c r="I95" t="s">
        <v>918</v>
      </c>
      <c r="J95">
        <v>185</v>
      </c>
      <c r="K95">
        <v>75</v>
      </c>
      <c r="L95" s="3" t="s">
        <v>1115</v>
      </c>
    </row>
    <row r="96" spans="1:12" x14ac:dyDescent="0.35">
      <c r="A96" s="25" t="s">
        <v>1122</v>
      </c>
      <c r="B96" t="s">
        <v>1115</v>
      </c>
      <c r="C96" t="s">
        <v>1221</v>
      </c>
      <c r="D96" t="s">
        <v>1134</v>
      </c>
      <c r="E96" t="s">
        <v>1193</v>
      </c>
      <c r="F96" t="s">
        <v>914</v>
      </c>
      <c r="G96" t="s">
        <v>1124</v>
      </c>
      <c r="H96">
        <v>1993</v>
      </c>
      <c r="I96" t="s">
        <v>921</v>
      </c>
      <c r="J96">
        <v>150</v>
      </c>
      <c r="K96">
        <v>110</v>
      </c>
      <c r="L96" s="3" t="s">
        <v>1115</v>
      </c>
    </row>
    <row r="97" spans="1:12" x14ac:dyDescent="0.35">
      <c r="A97" s="25" t="s">
        <v>1122</v>
      </c>
      <c r="B97" t="s">
        <v>1115</v>
      </c>
      <c r="C97" t="s">
        <v>1221</v>
      </c>
      <c r="D97" t="s">
        <v>1136</v>
      </c>
      <c r="E97" t="s">
        <v>1194</v>
      </c>
      <c r="F97" t="s">
        <v>923</v>
      </c>
      <c r="G97" t="s">
        <v>528</v>
      </c>
      <c r="H97">
        <v>1991</v>
      </c>
      <c r="I97" t="s">
        <v>924</v>
      </c>
      <c r="J97">
        <v>130</v>
      </c>
      <c r="K97">
        <v>12</v>
      </c>
      <c r="L97" s="3" t="s">
        <v>1115</v>
      </c>
    </row>
    <row r="98" spans="1:12" x14ac:dyDescent="0.35">
      <c r="A98" s="25" t="s">
        <v>1122</v>
      </c>
      <c r="B98" t="s">
        <v>1115</v>
      </c>
      <c r="C98" t="s">
        <v>1221</v>
      </c>
      <c r="D98" t="s">
        <v>1138</v>
      </c>
      <c r="E98" t="s">
        <v>1195</v>
      </c>
      <c r="F98" t="s">
        <v>926</v>
      </c>
      <c r="G98" t="s">
        <v>535</v>
      </c>
      <c r="H98">
        <v>1989</v>
      </c>
      <c r="I98" t="s">
        <v>927</v>
      </c>
      <c r="J98">
        <v>150</v>
      </c>
      <c r="K98">
        <v>25</v>
      </c>
      <c r="L98" s="3" t="s">
        <v>1115</v>
      </c>
    </row>
    <row r="99" spans="1:12" x14ac:dyDescent="0.35">
      <c r="A99" s="25" t="s">
        <v>1122</v>
      </c>
      <c r="B99" t="s">
        <v>1115</v>
      </c>
      <c r="C99" t="s">
        <v>1221</v>
      </c>
      <c r="D99" t="s">
        <v>1140</v>
      </c>
      <c r="E99" t="s">
        <v>1196</v>
      </c>
      <c r="F99" t="s">
        <v>914</v>
      </c>
      <c r="G99" t="s">
        <v>531</v>
      </c>
      <c r="H99">
        <v>1986</v>
      </c>
      <c r="I99" t="s">
        <v>929</v>
      </c>
      <c r="J99">
        <v>180</v>
      </c>
      <c r="K99">
        <v>112</v>
      </c>
      <c r="L99" s="3" t="s">
        <v>1115</v>
      </c>
    </row>
    <row r="100" spans="1:12" x14ac:dyDescent="0.35">
      <c r="A100" s="25" t="s">
        <v>1122</v>
      </c>
      <c r="B100" t="s">
        <v>1115</v>
      </c>
      <c r="C100" t="s">
        <v>1221</v>
      </c>
      <c r="D100" t="s">
        <v>1143</v>
      </c>
      <c r="E100" t="s">
        <v>1197</v>
      </c>
      <c r="F100" t="s">
        <v>914</v>
      </c>
      <c r="G100" t="s">
        <v>1125</v>
      </c>
      <c r="H100">
        <v>1983</v>
      </c>
      <c r="I100" t="s">
        <v>931</v>
      </c>
      <c r="J100">
        <v>300</v>
      </c>
      <c r="K100">
        <v>190</v>
      </c>
      <c r="L100" s="3" t="s">
        <v>1115</v>
      </c>
    </row>
    <row r="101" spans="1:12" x14ac:dyDescent="0.35">
      <c r="A101" s="25" t="s">
        <v>1122</v>
      </c>
      <c r="B101" t="s">
        <v>1115</v>
      </c>
      <c r="C101" t="s">
        <v>1221</v>
      </c>
      <c r="D101" t="s">
        <v>1145</v>
      </c>
      <c r="E101" t="s">
        <v>1198</v>
      </c>
      <c r="F101" t="s">
        <v>914</v>
      </c>
      <c r="G101" t="s">
        <v>1105</v>
      </c>
      <c r="H101">
        <v>1996</v>
      </c>
      <c r="I101" t="s">
        <v>934</v>
      </c>
      <c r="J101">
        <v>110</v>
      </c>
      <c r="K101">
        <v>90</v>
      </c>
      <c r="L101" s="3" t="s">
        <v>1115</v>
      </c>
    </row>
    <row r="102" spans="1:12" x14ac:dyDescent="0.35">
      <c r="A102" s="25" t="s">
        <v>1122</v>
      </c>
      <c r="B102" t="s">
        <v>1115</v>
      </c>
      <c r="C102" t="s">
        <v>1221</v>
      </c>
      <c r="D102" t="s">
        <v>1147</v>
      </c>
      <c r="E102" t="s">
        <v>1199</v>
      </c>
      <c r="F102" t="s">
        <v>926</v>
      </c>
      <c r="G102" t="s">
        <v>528</v>
      </c>
      <c r="H102">
        <v>1993</v>
      </c>
      <c r="I102" t="s">
        <v>921</v>
      </c>
      <c r="J102">
        <v>80</v>
      </c>
      <c r="K102">
        <v>50</v>
      </c>
      <c r="L102" s="3" t="s">
        <v>1115</v>
      </c>
    </row>
    <row r="103" spans="1:12" x14ac:dyDescent="0.35">
      <c r="A103" s="25" t="s">
        <v>1122</v>
      </c>
      <c r="B103" t="s">
        <v>1115</v>
      </c>
      <c r="C103" t="s">
        <v>1221</v>
      </c>
      <c r="D103" t="s">
        <v>1149</v>
      </c>
      <c r="E103" t="s">
        <v>1200</v>
      </c>
      <c r="F103" t="s">
        <v>914</v>
      </c>
      <c r="G103" t="s">
        <v>1126</v>
      </c>
      <c r="H103">
        <v>1995</v>
      </c>
      <c r="I103" t="s">
        <v>927</v>
      </c>
      <c r="J103">
        <v>85</v>
      </c>
      <c r="K103">
        <v>55</v>
      </c>
      <c r="L103" s="3" t="s">
        <v>1115</v>
      </c>
    </row>
    <row r="104" spans="1:12" x14ac:dyDescent="0.35">
      <c r="A104" s="25" t="s">
        <v>1122</v>
      </c>
      <c r="B104" t="s">
        <v>1115</v>
      </c>
      <c r="C104" t="s">
        <v>1221</v>
      </c>
      <c r="D104" t="s">
        <v>1151</v>
      </c>
      <c r="E104" t="s">
        <v>1201</v>
      </c>
      <c r="F104" t="s">
        <v>926</v>
      </c>
      <c r="G104" t="s">
        <v>527</v>
      </c>
      <c r="H104">
        <v>1992</v>
      </c>
      <c r="I104" t="s">
        <v>918</v>
      </c>
      <c r="J104">
        <v>115</v>
      </c>
      <c r="K104">
        <v>30</v>
      </c>
      <c r="L104" s="3" t="s">
        <v>1115</v>
      </c>
    </row>
    <row r="105" spans="1:12" x14ac:dyDescent="0.35">
      <c r="A105" s="25" t="s">
        <v>1122</v>
      </c>
      <c r="B105" t="s">
        <v>1115</v>
      </c>
      <c r="C105" t="s">
        <v>1221</v>
      </c>
      <c r="D105" t="s">
        <v>1153</v>
      </c>
      <c r="E105" t="s">
        <v>1202</v>
      </c>
      <c r="F105" t="s">
        <v>923</v>
      </c>
      <c r="G105" t="s">
        <v>535</v>
      </c>
      <c r="H105">
        <v>1990</v>
      </c>
      <c r="I105" t="s">
        <v>927</v>
      </c>
      <c r="J105">
        <v>140</v>
      </c>
      <c r="K105">
        <v>25</v>
      </c>
      <c r="L105" s="3" t="s">
        <v>1115</v>
      </c>
    </row>
    <row r="106" spans="1:12" x14ac:dyDescent="0.35">
      <c r="A106" s="25" t="s">
        <v>1122</v>
      </c>
      <c r="B106" t="s">
        <v>1115</v>
      </c>
      <c r="C106" t="s">
        <v>1221</v>
      </c>
      <c r="D106" t="s">
        <v>1155</v>
      </c>
      <c r="E106" t="s">
        <v>1203</v>
      </c>
      <c r="F106" t="s">
        <v>926</v>
      </c>
      <c r="G106" t="s">
        <v>913</v>
      </c>
      <c r="H106">
        <v>1992</v>
      </c>
      <c r="I106" t="s">
        <v>941</v>
      </c>
      <c r="J106">
        <v>120</v>
      </c>
      <c r="K106">
        <v>20</v>
      </c>
      <c r="L106" s="3" t="s">
        <v>1115</v>
      </c>
    </row>
    <row r="107" spans="1:12" x14ac:dyDescent="0.35">
      <c r="A107" s="25" t="s">
        <v>1122</v>
      </c>
      <c r="B107" t="s">
        <v>1115</v>
      </c>
      <c r="C107" t="s">
        <v>1221</v>
      </c>
      <c r="D107" t="s">
        <v>1157</v>
      </c>
      <c r="E107" t="s">
        <v>1204</v>
      </c>
      <c r="F107" t="s">
        <v>926</v>
      </c>
      <c r="G107" t="s">
        <v>913</v>
      </c>
      <c r="H107">
        <v>1982</v>
      </c>
      <c r="I107" t="s">
        <v>943</v>
      </c>
      <c r="J107">
        <v>310</v>
      </c>
      <c r="K107">
        <v>130</v>
      </c>
      <c r="L107" s="3" t="s">
        <v>1115</v>
      </c>
    </row>
    <row r="108" spans="1:12" x14ac:dyDescent="0.35">
      <c r="A108" s="25" t="s">
        <v>1122</v>
      </c>
      <c r="B108" t="s">
        <v>1115</v>
      </c>
      <c r="C108" t="s">
        <v>1221</v>
      </c>
      <c r="D108" t="s">
        <v>1159</v>
      </c>
      <c r="E108" t="s">
        <v>1205</v>
      </c>
      <c r="F108" t="s">
        <v>917</v>
      </c>
      <c r="G108" t="s">
        <v>913</v>
      </c>
      <c r="H108">
        <v>1988</v>
      </c>
      <c r="I108" t="s">
        <v>945</v>
      </c>
      <c r="J108">
        <v>190</v>
      </c>
      <c r="K108">
        <v>65</v>
      </c>
      <c r="L108" s="3" t="s">
        <v>1115</v>
      </c>
    </row>
    <row r="109" spans="1:12" x14ac:dyDescent="0.35">
      <c r="A109" s="25" t="s">
        <v>1122</v>
      </c>
      <c r="B109" t="s">
        <v>1115</v>
      </c>
      <c r="C109" t="s">
        <v>1221</v>
      </c>
      <c r="D109" t="s">
        <v>1161</v>
      </c>
      <c r="E109" t="s">
        <v>1206</v>
      </c>
      <c r="F109" t="s">
        <v>926</v>
      </c>
      <c r="G109" t="s">
        <v>913</v>
      </c>
      <c r="H109">
        <v>1995</v>
      </c>
      <c r="I109" t="s">
        <v>918</v>
      </c>
      <c r="J109">
        <v>95</v>
      </c>
      <c r="K109">
        <v>25</v>
      </c>
      <c r="L109" s="3" t="s">
        <v>1115</v>
      </c>
    </row>
    <row r="110" spans="1:12" x14ac:dyDescent="0.35">
      <c r="A110" s="25" t="s">
        <v>1122</v>
      </c>
      <c r="B110" t="s">
        <v>1115</v>
      </c>
      <c r="C110" t="s">
        <v>1221</v>
      </c>
      <c r="D110" t="s">
        <v>1163</v>
      </c>
      <c r="E110" t="s">
        <v>1207</v>
      </c>
      <c r="F110" t="s">
        <v>914</v>
      </c>
      <c r="G110" t="s">
        <v>1107</v>
      </c>
      <c r="H110">
        <v>1992</v>
      </c>
      <c r="I110" t="s">
        <v>949</v>
      </c>
      <c r="J110">
        <v>150</v>
      </c>
      <c r="K110">
        <v>105</v>
      </c>
      <c r="L110" s="3" t="s">
        <v>1115</v>
      </c>
    </row>
    <row r="111" spans="1:12" x14ac:dyDescent="0.35">
      <c r="A111" s="25" t="s">
        <v>1122</v>
      </c>
      <c r="B111" t="s">
        <v>1115</v>
      </c>
      <c r="C111" t="s">
        <v>1221</v>
      </c>
      <c r="D111" t="s">
        <v>1165</v>
      </c>
      <c r="E111" t="s">
        <v>1208</v>
      </c>
      <c r="F111" t="s">
        <v>926</v>
      </c>
      <c r="G111" t="s">
        <v>1105</v>
      </c>
      <c r="H111">
        <v>1993</v>
      </c>
      <c r="I111" t="s">
        <v>924</v>
      </c>
      <c r="J111">
        <v>115</v>
      </c>
      <c r="K111">
        <v>60</v>
      </c>
      <c r="L111" s="3" t="s">
        <v>1115</v>
      </c>
    </row>
    <row r="112" spans="1:12" x14ac:dyDescent="0.35">
      <c r="A112" s="25" t="s">
        <v>1122</v>
      </c>
      <c r="B112" t="s">
        <v>1115</v>
      </c>
      <c r="C112" t="s">
        <v>1221</v>
      </c>
      <c r="D112" t="s">
        <v>1167</v>
      </c>
      <c r="E112" t="s">
        <v>1209</v>
      </c>
      <c r="F112" t="s">
        <v>923</v>
      </c>
      <c r="G112" t="s">
        <v>1127</v>
      </c>
      <c r="H112">
        <v>1990</v>
      </c>
      <c r="I112" t="s">
        <v>949</v>
      </c>
      <c r="J112">
        <v>120</v>
      </c>
      <c r="K112">
        <v>10</v>
      </c>
      <c r="L112" s="3" t="s">
        <v>1115</v>
      </c>
    </row>
    <row r="113" spans="1:12" x14ac:dyDescent="0.35">
      <c r="A113" s="25" t="s">
        <v>1122</v>
      </c>
      <c r="B113" t="s">
        <v>1115</v>
      </c>
      <c r="C113" t="s">
        <v>1221</v>
      </c>
      <c r="D113" t="s">
        <v>1169</v>
      </c>
      <c r="E113" t="s">
        <v>1210</v>
      </c>
      <c r="F113" t="s">
        <v>926</v>
      </c>
      <c r="G113" t="s">
        <v>1128</v>
      </c>
      <c r="H113">
        <v>1991</v>
      </c>
      <c r="I113" t="s">
        <v>921</v>
      </c>
      <c r="J113">
        <v>145</v>
      </c>
      <c r="K113">
        <v>40</v>
      </c>
      <c r="L113" s="3" t="s">
        <v>1115</v>
      </c>
    </row>
    <row r="114" spans="1:12" x14ac:dyDescent="0.35">
      <c r="A114" s="25" t="s">
        <v>1122</v>
      </c>
      <c r="B114" t="s">
        <v>1115</v>
      </c>
      <c r="C114" t="s">
        <v>1221</v>
      </c>
      <c r="D114" t="s">
        <v>1171</v>
      </c>
      <c r="E114" t="s">
        <v>1211</v>
      </c>
      <c r="F114" t="s">
        <v>923</v>
      </c>
      <c r="G114" t="s">
        <v>1125</v>
      </c>
      <c r="H114">
        <v>1995</v>
      </c>
      <c r="I114" t="s">
        <v>921</v>
      </c>
      <c r="J114">
        <v>135</v>
      </c>
      <c r="K114">
        <v>10</v>
      </c>
      <c r="L114" s="3" t="s">
        <v>1115</v>
      </c>
    </row>
    <row r="115" spans="1:12" x14ac:dyDescent="0.35">
      <c r="A115" s="25" t="s">
        <v>1122</v>
      </c>
      <c r="B115" t="s">
        <v>1115</v>
      </c>
      <c r="C115" t="s">
        <v>1221</v>
      </c>
      <c r="D115" t="s">
        <v>1173</v>
      </c>
      <c r="E115" t="s">
        <v>1212</v>
      </c>
      <c r="F115" t="s">
        <v>926</v>
      </c>
      <c r="G115" t="s">
        <v>1106</v>
      </c>
      <c r="H115">
        <v>1994</v>
      </c>
      <c r="I115" t="s">
        <v>924</v>
      </c>
      <c r="J115">
        <v>125</v>
      </c>
      <c r="K115">
        <v>80</v>
      </c>
      <c r="L115" s="3" t="s">
        <v>1115</v>
      </c>
    </row>
    <row r="116" spans="1:12" x14ac:dyDescent="0.35">
      <c r="A116" s="25" t="s">
        <v>1122</v>
      </c>
      <c r="B116" t="s">
        <v>1115</v>
      </c>
      <c r="C116" t="s">
        <v>1221</v>
      </c>
      <c r="D116" t="s">
        <v>1175</v>
      </c>
      <c r="E116" t="s">
        <v>1213</v>
      </c>
      <c r="F116" t="s">
        <v>923</v>
      </c>
      <c r="G116" t="s">
        <v>1106</v>
      </c>
      <c r="H116">
        <v>1991</v>
      </c>
      <c r="I116" t="s">
        <v>924</v>
      </c>
      <c r="J116">
        <v>118</v>
      </c>
      <c r="K116">
        <v>15</v>
      </c>
      <c r="L116" s="3" t="s">
        <v>1115</v>
      </c>
    </row>
    <row r="117" spans="1:12" x14ac:dyDescent="0.35">
      <c r="A117" s="25" t="s">
        <v>1122</v>
      </c>
      <c r="B117" t="s">
        <v>1115</v>
      </c>
      <c r="C117" t="s">
        <v>1221</v>
      </c>
      <c r="D117" t="s">
        <v>1177</v>
      </c>
      <c r="E117" t="s">
        <v>1214</v>
      </c>
      <c r="F117" t="s">
        <v>926</v>
      </c>
      <c r="G117" t="s">
        <v>1106</v>
      </c>
      <c r="H117">
        <v>1998</v>
      </c>
      <c r="I117" t="s">
        <v>924</v>
      </c>
      <c r="J117">
        <v>90</v>
      </c>
      <c r="K117">
        <v>20</v>
      </c>
      <c r="L117" s="3" t="s">
        <v>1115</v>
      </c>
    </row>
    <row r="118" spans="1:12" x14ac:dyDescent="0.35">
      <c r="A118" s="25" t="s">
        <v>1122</v>
      </c>
      <c r="B118" t="s">
        <v>1115</v>
      </c>
      <c r="C118" t="s">
        <v>1221</v>
      </c>
      <c r="D118" t="s">
        <v>1179</v>
      </c>
      <c r="E118" t="s">
        <v>1215</v>
      </c>
      <c r="F118" t="s">
        <v>914</v>
      </c>
      <c r="G118" t="s">
        <v>535</v>
      </c>
      <c r="H118">
        <v>1998</v>
      </c>
      <c r="I118" t="s">
        <v>961</v>
      </c>
      <c r="J118">
        <v>100</v>
      </c>
      <c r="K118">
        <v>70</v>
      </c>
      <c r="L118" s="3" t="s">
        <v>1115</v>
      </c>
    </row>
    <row r="119" spans="1:12" x14ac:dyDescent="0.35">
      <c r="A119" s="25" t="s">
        <v>1122</v>
      </c>
      <c r="B119" t="s">
        <v>1115</v>
      </c>
      <c r="C119" t="s">
        <v>1221</v>
      </c>
      <c r="D119" t="s">
        <v>1181</v>
      </c>
      <c r="E119" t="s">
        <v>1216</v>
      </c>
      <c r="F119" t="s">
        <v>917</v>
      </c>
      <c r="G119" t="s">
        <v>535</v>
      </c>
      <c r="H119">
        <v>1997</v>
      </c>
      <c r="I119" t="s">
        <v>927</v>
      </c>
      <c r="J119">
        <v>95</v>
      </c>
      <c r="K119">
        <v>25</v>
      </c>
      <c r="L119" s="3" t="s">
        <v>1115</v>
      </c>
    </row>
    <row r="120" spans="1:12" x14ac:dyDescent="0.35">
      <c r="A120" s="25" t="s">
        <v>1122</v>
      </c>
      <c r="B120" t="s">
        <v>1115</v>
      </c>
      <c r="C120" t="s">
        <v>1221</v>
      </c>
      <c r="D120" t="s">
        <v>1183</v>
      </c>
      <c r="E120" t="s">
        <v>1217</v>
      </c>
      <c r="F120" t="s">
        <v>914</v>
      </c>
      <c r="G120" t="s">
        <v>1129</v>
      </c>
      <c r="H120">
        <v>1994</v>
      </c>
      <c r="I120" t="s">
        <v>924</v>
      </c>
      <c r="J120">
        <v>110</v>
      </c>
      <c r="K120">
        <v>90</v>
      </c>
      <c r="L120" s="3" t="s">
        <v>1115</v>
      </c>
    </row>
    <row r="121" spans="1:12" x14ac:dyDescent="0.35">
      <c r="A121" s="25" t="s">
        <v>1122</v>
      </c>
      <c r="B121" t="s">
        <v>1115</v>
      </c>
      <c r="C121" t="s">
        <v>1221</v>
      </c>
      <c r="D121" t="s">
        <v>1134</v>
      </c>
      <c r="E121" t="s">
        <v>1218</v>
      </c>
      <c r="F121" t="s">
        <v>926</v>
      </c>
      <c r="G121" t="s">
        <v>913</v>
      </c>
      <c r="H121">
        <v>1992</v>
      </c>
      <c r="I121" t="s">
        <v>965</v>
      </c>
      <c r="J121">
        <v>85</v>
      </c>
      <c r="K121">
        <v>30</v>
      </c>
      <c r="L121" s="3" t="s">
        <v>1115</v>
      </c>
    </row>
    <row r="122" spans="1:12" x14ac:dyDescent="0.35">
      <c r="A122" s="25" t="s">
        <v>1122</v>
      </c>
      <c r="B122" t="s">
        <v>1115</v>
      </c>
      <c r="C122" t="s">
        <v>1221</v>
      </c>
      <c r="D122" t="s">
        <v>1186</v>
      </c>
      <c r="E122" t="s">
        <v>1219</v>
      </c>
      <c r="F122" t="s">
        <v>917</v>
      </c>
      <c r="G122" t="s">
        <v>528</v>
      </c>
      <c r="H122">
        <v>1995</v>
      </c>
      <c r="I122" t="s">
        <v>934</v>
      </c>
      <c r="J122">
        <v>140</v>
      </c>
      <c r="K122">
        <v>50</v>
      </c>
      <c r="L122" s="3" t="s">
        <v>1115</v>
      </c>
    </row>
    <row r="123" spans="1:12" x14ac:dyDescent="0.35">
      <c r="A123" s="25" t="s">
        <v>1122</v>
      </c>
      <c r="B123" t="s">
        <v>1115</v>
      </c>
      <c r="C123" t="s">
        <v>1221</v>
      </c>
      <c r="D123" t="s">
        <v>1188</v>
      </c>
      <c r="E123" t="s">
        <v>1220</v>
      </c>
      <c r="F123" t="s">
        <v>923</v>
      </c>
      <c r="G123" t="s">
        <v>528</v>
      </c>
      <c r="H123">
        <v>1997</v>
      </c>
      <c r="I123" t="s">
        <v>934</v>
      </c>
      <c r="J123">
        <v>75</v>
      </c>
      <c r="K123">
        <v>5</v>
      </c>
      <c r="L123" s="3" t="s">
        <v>1115</v>
      </c>
    </row>
    <row r="124" spans="1:12" x14ac:dyDescent="0.35">
      <c r="A124" s="27" t="s">
        <v>713</v>
      </c>
      <c r="B124" t="s">
        <v>331</v>
      </c>
      <c r="C124" t="s">
        <v>1080</v>
      </c>
      <c r="D124" t="s">
        <v>199</v>
      </c>
      <c r="E124" t="s">
        <v>1224</v>
      </c>
      <c r="F124" t="s">
        <v>926</v>
      </c>
      <c r="G124" t="s">
        <v>1359</v>
      </c>
      <c r="H124">
        <v>1991</v>
      </c>
      <c r="I124" t="s">
        <v>1115</v>
      </c>
      <c r="J124" t="s">
        <v>1115</v>
      </c>
      <c r="K124" t="s">
        <v>1115</v>
      </c>
      <c r="L124" t="s">
        <v>1115</v>
      </c>
    </row>
    <row r="125" spans="1:12" x14ac:dyDescent="0.35">
      <c r="A125" s="27" t="s">
        <v>713</v>
      </c>
      <c r="B125" t="s">
        <v>332</v>
      </c>
      <c r="C125" t="s">
        <v>1080</v>
      </c>
      <c r="D125" t="s">
        <v>67</v>
      </c>
      <c r="E125" t="s">
        <v>507</v>
      </c>
      <c r="F125" t="s">
        <v>487</v>
      </c>
      <c r="G125" t="s">
        <v>527</v>
      </c>
      <c r="H125">
        <v>1986</v>
      </c>
      <c r="I125" t="s">
        <v>1115</v>
      </c>
      <c r="J125" t="s">
        <v>1115</v>
      </c>
      <c r="K125" t="s">
        <v>1115</v>
      </c>
      <c r="L125" t="s">
        <v>1115</v>
      </c>
    </row>
    <row r="126" spans="1:12" x14ac:dyDescent="0.35">
      <c r="A126" s="27" t="s">
        <v>713</v>
      </c>
      <c r="B126" t="s">
        <v>333</v>
      </c>
      <c r="C126" t="s">
        <v>1080</v>
      </c>
      <c r="D126" t="s">
        <v>61</v>
      </c>
      <c r="E126" t="s">
        <v>1225</v>
      </c>
      <c r="F126" t="s">
        <v>926</v>
      </c>
      <c r="G126" t="s">
        <v>527</v>
      </c>
      <c r="H126">
        <v>1989</v>
      </c>
      <c r="I126" t="s">
        <v>1115</v>
      </c>
      <c r="J126" t="s">
        <v>1115</v>
      </c>
      <c r="K126" t="s">
        <v>1115</v>
      </c>
      <c r="L126" t="s">
        <v>1115</v>
      </c>
    </row>
    <row r="127" spans="1:12" x14ac:dyDescent="0.35">
      <c r="A127" s="27" t="s">
        <v>713</v>
      </c>
      <c r="B127" t="s">
        <v>334</v>
      </c>
      <c r="C127" t="s">
        <v>1080</v>
      </c>
      <c r="D127" t="s">
        <v>76</v>
      </c>
      <c r="E127" t="s">
        <v>1226</v>
      </c>
      <c r="F127" t="s">
        <v>926</v>
      </c>
      <c r="G127" t="s">
        <v>527</v>
      </c>
      <c r="H127">
        <v>1989</v>
      </c>
      <c r="I127" t="s">
        <v>1115</v>
      </c>
      <c r="J127" t="s">
        <v>1115</v>
      </c>
      <c r="K127" t="s">
        <v>1115</v>
      </c>
      <c r="L127" t="s">
        <v>1115</v>
      </c>
    </row>
    <row r="128" spans="1:12" x14ac:dyDescent="0.35">
      <c r="A128" s="27" t="s">
        <v>713</v>
      </c>
      <c r="B128" t="s">
        <v>335</v>
      </c>
      <c r="C128" t="s">
        <v>1080</v>
      </c>
      <c r="D128" t="s">
        <v>176</v>
      </c>
      <c r="E128" t="s">
        <v>1227</v>
      </c>
      <c r="F128" t="s">
        <v>914</v>
      </c>
      <c r="G128" t="s">
        <v>527</v>
      </c>
      <c r="H128">
        <v>1989</v>
      </c>
      <c r="I128" t="s">
        <v>1115</v>
      </c>
      <c r="J128" t="s">
        <v>1115</v>
      </c>
      <c r="K128" t="s">
        <v>1115</v>
      </c>
      <c r="L128" t="s">
        <v>1115</v>
      </c>
    </row>
    <row r="129" spans="1:12" x14ac:dyDescent="0.35">
      <c r="A129" s="27" t="s">
        <v>713</v>
      </c>
      <c r="B129" t="s">
        <v>336</v>
      </c>
      <c r="C129" t="s">
        <v>1080</v>
      </c>
      <c r="D129" t="s">
        <v>174</v>
      </c>
      <c r="E129" t="s">
        <v>1228</v>
      </c>
      <c r="F129" t="s">
        <v>926</v>
      </c>
      <c r="G129" t="s">
        <v>527</v>
      </c>
      <c r="H129">
        <v>1990</v>
      </c>
      <c r="I129" t="s">
        <v>1115</v>
      </c>
      <c r="J129" t="s">
        <v>1115</v>
      </c>
      <c r="K129" t="s">
        <v>1115</v>
      </c>
      <c r="L129" t="s">
        <v>1115</v>
      </c>
    </row>
    <row r="130" spans="1:12" x14ac:dyDescent="0.35">
      <c r="A130" s="27" t="s">
        <v>713</v>
      </c>
      <c r="B130" t="s">
        <v>337</v>
      </c>
      <c r="C130" t="s">
        <v>1080</v>
      </c>
      <c r="D130" t="s">
        <v>92</v>
      </c>
      <c r="E130" t="s">
        <v>1229</v>
      </c>
      <c r="F130" t="s">
        <v>926</v>
      </c>
      <c r="G130" t="s">
        <v>527</v>
      </c>
      <c r="H130">
        <v>1991</v>
      </c>
      <c r="I130" t="s">
        <v>1115</v>
      </c>
      <c r="J130" t="s">
        <v>1115</v>
      </c>
      <c r="K130" t="s">
        <v>1115</v>
      </c>
      <c r="L130" t="s">
        <v>1115</v>
      </c>
    </row>
    <row r="131" spans="1:12" x14ac:dyDescent="0.35">
      <c r="A131" s="27" t="s">
        <v>713</v>
      </c>
      <c r="B131" t="s">
        <v>338</v>
      </c>
      <c r="C131" t="s">
        <v>1080</v>
      </c>
      <c r="D131" t="s">
        <v>304</v>
      </c>
      <c r="E131" t="s">
        <v>508</v>
      </c>
      <c r="F131" t="s">
        <v>487</v>
      </c>
      <c r="G131" t="s">
        <v>527</v>
      </c>
      <c r="H131">
        <v>1993</v>
      </c>
      <c r="I131" t="s">
        <v>1115</v>
      </c>
      <c r="J131" t="s">
        <v>1115</v>
      </c>
      <c r="K131" t="s">
        <v>1115</v>
      </c>
      <c r="L131" t="s">
        <v>1115</v>
      </c>
    </row>
    <row r="132" spans="1:12" x14ac:dyDescent="0.35">
      <c r="A132" s="27" t="s">
        <v>713</v>
      </c>
      <c r="B132" t="s">
        <v>339</v>
      </c>
      <c r="C132" t="s">
        <v>1080</v>
      </c>
      <c r="D132" t="s">
        <v>49</v>
      </c>
      <c r="E132" t="s">
        <v>1230</v>
      </c>
      <c r="F132" t="s">
        <v>926</v>
      </c>
      <c r="G132" t="s">
        <v>527</v>
      </c>
      <c r="H132">
        <v>1995</v>
      </c>
      <c r="I132" t="s">
        <v>1115</v>
      </c>
      <c r="J132" t="s">
        <v>1115</v>
      </c>
      <c r="K132" t="s">
        <v>1115</v>
      </c>
      <c r="L132" t="s">
        <v>1115</v>
      </c>
    </row>
    <row r="133" spans="1:12" x14ac:dyDescent="0.35">
      <c r="A133" s="27" t="s">
        <v>713</v>
      </c>
      <c r="B133" t="s">
        <v>340</v>
      </c>
      <c r="C133" t="s">
        <v>1080</v>
      </c>
      <c r="D133" t="s">
        <v>98</v>
      </c>
      <c r="E133" t="s">
        <v>1231</v>
      </c>
      <c r="F133" t="s">
        <v>914</v>
      </c>
      <c r="G133" t="s">
        <v>527</v>
      </c>
      <c r="H133">
        <v>1996</v>
      </c>
      <c r="I133" t="s">
        <v>1115</v>
      </c>
      <c r="J133" t="s">
        <v>1115</v>
      </c>
      <c r="K133" t="s">
        <v>1115</v>
      </c>
      <c r="L133" t="s">
        <v>1115</v>
      </c>
    </row>
    <row r="134" spans="1:12" x14ac:dyDescent="0.35">
      <c r="A134" s="27" t="s">
        <v>713</v>
      </c>
      <c r="B134" t="s">
        <v>341</v>
      </c>
      <c r="C134" t="s">
        <v>1080</v>
      </c>
      <c r="D134" t="s">
        <v>100</v>
      </c>
      <c r="E134" t="s">
        <v>1232</v>
      </c>
      <c r="F134" t="s">
        <v>914</v>
      </c>
      <c r="G134" t="s">
        <v>527</v>
      </c>
      <c r="H134">
        <v>1997</v>
      </c>
      <c r="I134" t="s">
        <v>1115</v>
      </c>
      <c r="J134" t="s">
        <v>1115</v>
      </c>
      <c r="K134" t="s">
        <v>1115</v>
      </c>
      <c r="L134" t="s">
        <v>1115</v>
      </c>
    </row>
    <row r="135" spans="1:12" x14ac:dyDescent="0.35">
      <c r="A135" s="27" t="s">
        <v>713</v>
      </c>
      <c r="B135" t="s">
        <v>342</v>
      </c>
      <c r="C135" t="s">
        <v>1080</v>
      </c>
      <c r="D135" t="s">
        <v>231</v>
      </c>
      <c r="E135" t="s">
        <v>1233</v>
      </c>
      <c r="F135" t="s">
        <v>926</v>
      </c>
      <c r="G135" t="s">
        <v>527</v>
      </c>
      <c r="H135">
        <v>2003</v>
      </c>
      <c r="I135" t="s">
        <v>1115</v>
      </c>
      <c r="J135" t="s">
        <v>1115</v>
      </c>
      <c r="K135" t="s">
        <v>1115</v>
      </c>
      <c r="L135" t="s">
        <v>1115</v>
      </c>
    </row>
    <row r="136" spans="1:12" x14ac:dyDescent="0.35">
      <c r="A136" s="27" t="s">
        <v>713</v>
      </c>
      <c r="B136" t="s">
        <v>343</v>
      </c>
      <c r="C136" t="s">
        <v>1080</v>
      </c>
      <c r="D136" t="s">
        <v>229</v>
      </c>
      <c r="E136" t="s">
        <v>1234</v>
      </c>
      <c r="F136" t="s">
        <v>926</v>
      </c>
      <c r="G136" t="s">
        <v>527</v>
      </c>
      <c r="H136">
        <v>2004</v>
      </c>
      <c r="I136" t="s">
        <v>1115</v>
      </c>
      <c r="J136" t="s">
        <v>1115</v>
      </c>
      <c r="K136" t="s">
        <v>1115</v>
      </c>
      <c r="L136" t="s">
        <v>1115</v>
      </c>
    </row>
    <row r="137" spans="1:12" x14ac:dyDescent="0.35">
      <c r="A137" s="27" t="s">
        <v>713</v>
      </c>
      <c r="B137" t="s">
        <v>344</v>
      </c>
      <c r="C137" t="s">
        <v>1080</v>
      </c>
      <c r="D137" t="s">
        <v>277</v>
      </c>
      <c r="E137" t="s">
        <v>1235</v>
      </c>
      <c r="F137" t="s">
        <v>914</v>
      </c>
      <c r="G137" t="s">
        <v>527</v>
      </c>
      <c r="H137">
        <v>2005</v>
      </c>
      <c r="I137" t="s">
        <v>1115</v>
      </c>
      <c r="J137" t="s">
        <v>1115</v>
      </c>
      <c r="K137" t="s">
        <v>1115</v>
      </c>
      <c r="L137" t="s">
        <v>1115</v>
      </c>
    </row>
    <row r="138" spans="1:12" x14ac:dyDescent="0.35">
      <c r="A138" s="27" t="s">
        <v>713</v>
      </c>
      <c r="B138" t="s">
        <v>345</v>
      </c>
      <c r="C138" t="s">
        <v>1080</v>
      </c>
      <c r="D138" t="s">
        <v>172</v>
      </c>
      <c r="E138" t="s">
        <v>1236</v>
      </c>
      <c r="F138" t="s">
        <v>926</v>
      </c>
      <c r="G138" t="s">
        <v>528</v>
      </c>
      <c r="H138">
        <v>1978</v>
      </c>
      <c r="I138" t="s">
        <v>1115</v>
      </c>
      <c r="J138" t="s">
        <v>1115</v>
      </c>
      <c r="K138" t="s">
        <v>1115</v>
      </c>
      <c r="L138" t="s">
        <v>1115</v>
      </c>
    </row>
    <row r="139" spans="1:12" x14ac:dyDescent="0.35">
      <c r="A139" s="27" t="s">
        <v>713</v>
      </c>
      <c r="B139" t="s">
        <v>346</v>
      </c>
      <c r="C139" t="s">
        <v>1080</v>
      </c>
      <c r="D139" t="s">
        <v>170</v>
      </c>
      <c r="E139" t="s">
        <v>1237</v>
      </c>
      <c r="F139" t="s">
        <v>926</v>
      </c>
      <c r="G139" t="s">
        <v>528</v>
      </c>
      <c r="H139">
        <v>1980</v>
      </c>
      <c r="I139" t="s">
        <v>1115</v>
      </c>
      <c r="J139" t="s">
        <v>1115</v>
      </c>
      <c r="K139" t="s">
        <v>1115</v>
      </c>
      <c r="L139" t="s">
        <v>1115</v>
      </c>
    </row>
    <row r="140" spans="1:12" x14ac:dyDescent="0.35">
      <c r="A140" s="27" t="s">
        <v>713</v>
      </c>
      <c r="B140" t="s">
        <v>347</v>
      </c>
      <c r="C140" t="s">
        <v>1080</v>
      </c>
      <c r="D140" t="s">
        <v>313</v>
      </c>
      <c r="E140" t="s">
        <v>509</v>
      </c>
      <c r="F140" t="s">
        <v>487</v>
      </c>
      <c r="G140" t="s">
        <v>528</v>
      </c>
      <c r="H140">
        <v>1992</v>
      </c>
      <c r="I140" t="s">
        <v>1115</v>
      </c>
      <c r="J140" t="s">
        <v>1115</v>
      </c>
      <c r="K140" t="s">
        <v>1115</v>
      </c>
      <c r="L140" t="s">
        <v>1115</v>
      </c>
    </row>
    <row r="141" spans="1:12" x14ac:dyDescent="0.35">
      <c r="A141" s="27" t="s">
        <v>713</v>
      </c>
      <c r="B141" t="s">
        <v>348</v>
      </c>
      <c r="C141" t="s">
        <v>1080</v>
      </c>
      <c r="D141" t="s">
        <v>74</v>
      </c>
      <c r="E141" t="s">
        <v>1238</v>
      </c>
      <c r="F141" t="s">
        <v>914</v>
      </c>
      <c r="G141" t="s">
        <v>528</v>
      </c>
      <c r="H141">
        <v>1993</v>
      </c>
      <c r="I141" t="s">
        <v>1115</v>
      </c>
      <c r="J141" t="s">
        <v>1115</v>
      </c>
      <c r="K141" t="s">
        <v>1115</v>
      </c>
      <c r="L141" t="s">
        <v>1115</v>
      </c>
    </row>
    <row r="142" spans="1:12" x14ac:dyDescent="0.35">
      <c r="A142" s="27" t="s">
        <v>713</v>
      </c>
      <c r="B142" t="s">
        <v>349</v>
      </c>
      <c r="C142" t="s">
        <v>1080</v>
      </c>
      <c r="D142" t="s">
        <v>319</v>
      </c>
      <c r="E142" t="s">
        <v>510</v>
      </c>
      <c r="F142" t="s">
        <v>487</v>
      </c>
      <c r="G142" t="s">
        <v>528</v>
      </c>
      <c r="H142">
        <v>1994</v>
      </c>
      <c r="I142" t="s">
        <v>1115</v>
      </c>
      <c r="J142" t="s">
        <v>1115</v>
      </c>
      <c r="K142" t="s">
        <v>1115</v>
      </c>
      <c r="L142" t="s">
        <v>1115</v>
      </c>
    </row>
    <row r="143" spans="1:12" x14ac:dyDescent="0.35">
      <c r="A143" s="27" t="s">
        <v>713</v>
      </c>
      <c r="B143" t="s">
        <v>350</v>
      </c>
      <c r="C143" t="s">
        <v>1080</v>
      </c>
      <c r="D143" t="s">
        <v>71</v>
      </c>
      <c r="E143" t="s">
        <v>1239</v>
      </c>
      <c r="F143" t="s">
        <v>914</v>
      </c>
      <c r="G143" t="s">
        <v>528</v>
      </c>
      <c r="H143">
        <v>1995</v>
      </c>
      <c r="I143" t="s">
        <v>1115</v>
      </c>
      <c r="J143" t="s">
        <v>1115</v>
      </c>
      <c r="K143" t="s">
        <v>1115</v>
      </c>
      <c r="L143" t="s">
        <v>1115</v>
      </c>
    </row>
    <row r="144" spans="1:12" x14ac:dyDescent="0.35">
      <c r="A144" s="27" t="s">
        <v>713</v>
      </c>
      <c r="B144" t="s">
        <v>351</v>
      </c>
      <c r="C144" t="s">
        <v>1080</v>
      </c>
      <c r="D144" t="s">
        <v>118</v>
      </c>
      <c r="E144" t="s">
        <v>1240</v>
      </c>
      <c r="F144" t="s">
        <v>914</v>
      </c>
      <c r="G144" t="s">
        <v>528</v>
      </c>
      <c r="H144">
        <v>1997</v>
      </c>
      <c r="I144" t="s">
        <v>1115</v>
      </c>
      <c r="J144" t="s">
        <v>1115</v>
      </c>
      <c r="K144" t="s">
        <v>1115</v>
      </c>
      <c r="L144" t="s">
        <v>1115</v>
      </c>
    </row>
    <row r="145" spans="1:12" x14ac:dyDescent="0.35">
      <c r="A145" s="27" t="s">
        <v>713</v>
      </c>
      <c r="B145" t="s">
        <v>352</v>
      </c>
      <c r="C145" t="s">
        <v>1080</v>
      </c>
      <c r="D145" t="s">
        <v>142</v>
      </c>
      <c r="E145" t="s">
        <v>1241</v>
      </c>
      <c r="F145" t="s">
        <v>923</v>
      </c>
      <c r="G145" t="s">
        <v>528</v>
      </c>
      <c r="H145">
        <v>1999</v>
      </c>
      <c r="I145" t="s">
        <v>1115</v>
      </c>
      <c r="J145" t="s">
        <v>1115</v>
      </c>
      <c r="K145" t="s">
        <v>1115</v>
      </c>
      <c r="L145" t="s">
        <v>1115</v>
      </c>
    </row>
    <row r="146" spans="1:12" x14ac:dyDescent="0.35">
      <c r="A146" s="27" t="s">
        <v>713</v>
      </c>
      <c r="B146" t="s">
        <v>353</v>
      </c>
      <c r="C146" t="s">
        <v>1080</v>
      </c>
      <c r="D146" t="s">
        <v>311</v>
      </c>
      <c r="E146" t="s">
        <v>511</v>
      </c>
      <c r="F146" t="s">
        <v>487</v>
      </c>
      <c r="G146" t="s">
        <v>528</v>
      </c>
      <c r="H146">
        <v>1999</v>
      </c>
      <c r="I146" t="s">
        <v>1115</v>
      </c>
      <c r="J146" t="s">
        <v>1115</v>
      </c>
      <c r="K146" t="s">
        <v>1115</v>
      </c>
      <c r="L146" t="s">
        <v>1115</v>
      </c>
    </row>
    <row r="147" spans="1:12" x14ac:dyDescent="0.35">
      <c r="A147" s="27" t="s">
        <v>713</v>
      </c>
      <c r="B147" t="s">
        <v>354</v>
      </c>
      <c r="C147" t="s">
        <v>1080</v>
      </c>
      <c r="D147" t="s">
        <v>81</v>
      </c>
      <c r="E147" t="s">
        <v>1242</v>
      </c>
      <c r="F147" t="s">
        <v>926</v>
      </c>
      <c r="G147" t="s">
        <v>528</v>
      </c>
      <c r="H147">
        <v>2000</v>
      </c>
      <c r="I147" t="s">
        <v>1115</v>
      </c>
      <c r="J147" t="s">
        <v>1115</v>
      </c>
      <c r="K147" t="s">
        <v>1115</v>
      </c>
      <c r="L147" t="s">
        <v>1115</v>
      </c>
    </row>
    <row r="148" spans="1:12" x14ac:dyDescent="0.35">
      <c r="A148" s="27" t="s">
        <v>713</v>
      </c>
      <c r="B148" t="s">
        <v>355</v>
      </c>
      <c r="C148" t="s">
        <v>1080</v>
      </c>
      <c r="D148" t="s">
        <v>120</v>
      </c>
      <c r="E148" t="s">
        <v>1243</v>
      </c>
      <c r="F148" t="s">
        <v>926</v>
      </c>
      <c r="G148" t="s">
        <v>528</v>
      </c>
      <c r="H148">
        <v>2000</v>
      </c>
      <c r="I148" t="s">
        <v>1115</v>
      </c>
      <c r="J148" t="s">
        <v>1115</v>
      </c>
      <c r="K148" t="s">
        <v>1115</v>
      </c>
      <c r="L148" t="s">
        <v>1115</v>
      </c>
    </row>
    <row r="149" spans="1:12" x14ac:dyDescent="0.35">
      <c r="A149" s="27" t="s">
        <v>713</v>
      </c>
      <c r="B149" t="s">
        <v>356</v>
      </c>
      <c r="C149" t="s">
        <v>1080</v>
      </c>
      <c r="D149" t="s">
        <v>112</v>
      </c>
      <c r="E149" t="s">
        <v>1244</v>
      </c>
      <c r="F149" t="s">
        <v>926</v>
      </c>
      <c r="G149" t="s">
        <v>528</v>
      </c>
      <c r="H149">
        <v>2003</v>
      </c>
      <c r="I149" t="s">
        <v>1115</v>
      </c>
      <c r="J149" t="s">
        <v>1115</v>
      </c>
      <c r="K149" t="s">
        <v>1115</v>
      </c>
      <c r="L149" t="s">
        <v>1115</v>
      </c>
    </row>
    <row r="150" spans="1:12" x14ac:dyDescent="0.35">
      <c r="A150" s="27" t="s">
        <v>713</v>
      </c>
      <c r="B150" t="s">
        <v>357</v>
      </c>
      <c r="C150" t="s">
        <v>1080</v>
      </c>
      <c r="D150" t="s">
        <v>291</v>
      </c>
      <c r="E150" t="s">
        <v>1245</v>
      </c>
      <c r="F150" t="s">
        <v>926</v>
      </c>
      <c r="G150" t="s">
        <v>528</v>
      </c>
      <c r="H150">
        <v>2004</v>
      </c>
      <c r="I150" t="s">
        <v>1115</v>
      </c>
      <c r="J150" t="s">
        <v>1115</v>
      </c>
      <c r="K150" t="s">
        <v>1115</v>
      </c>
      <c r="L150" t="s">
        <v>1115</v>
      </c>
    </row>
    <row r="151" spans="1:12" x14ac:dyDescent="0.35">
      <c r="A151" s="27" t="s">
        <v>713</v>
      </c>
      <c r="B151" t="s">
        <v>358</v>
      </c>
      <c r="C151" t="s">
        <v>1080</v>
      </c>
      <c r="D151" t="s">
        <v>6</v>
      </c>
      <c r="E151" t="s">
        <v>1104</v>
      </c>
      <c r="F151" t="s">
        <v>914</v>
      </c>
      <c r="G151" t="s">
        <v>529</v>
      </c>
      <c r="H151">
        <v>1987</v>
      </c>
      <c r="I151" t="s">
        <v>1115</v>
      </c>
      <c r="J151" t="s">
        <v>1115</v>
      </c>
      <c r="K151" t="s">
        <v>1115</v>
      </c>
      <c r="L151" t="s">
        <v>1115</v>
      </c>
    </row>
    <row r="152" spans="1:12" x14ac:dyDescent="0.35">
      <c r="A152" s="27" t="s">
        <v>713</v>
      </c>
      <c r="B152" t="s">
        <v>359</v>
      </c>
      <c r="C152" t="s">
        <v>1080</v>
      </c>
      <c r="D152" t="s">
        <v>104</v>
      </c>
      <c r="E152" t="s">
        <v>1246</v>
      </c>
      <c r="F152" t="s">
        <v>926</v>
      </c>
      <c r="G152" t="s">
        <v>529</v>
      </c>
      <c r="H152">
        <v>1988</v>
      </c>
      <c r="I152" t="s">
        <v>1115</v>
      </c>
      <c r="J152" t="s">
        <v>1115</v>
      </c>
      <c r="K152" t="s">
        <v>1115</v>
      </c>
      <c r="L152" t="s">
        <v>1115</v>
      </c>
    </row>
    <row r="153" spans="1:12" x14ac:dyDescent="0.35">
      <c r="A153" s="27" t="s">
        <v>713</v>
      </c>
      <c r="B153" t="s">
        <v>360</v>
      </c>
      <c r="C153" t="s">
        <v>1080</v>
      </c>
      <c r="D153" t="s">
        <v>323</v>
      </c>
      <c r="E153" t="s">
        <v>512</v>
      </c>
      <c r="F153" t="s">
        <v>487</v>
      </c>
      <c r="G153" t="s">
        <v>529</v>
      </c>
      <c r="H153">
        <v>1993</v>
      </c>
      <c r="I153" t="s">
        <v>1115</v>
      </c>
      <c r="J153" t="s">
        <v>1115</v>
      </c>
      <c r="K153" t="s">
        <v>1115</v>
      </c>
      <c r="L153" t="s">
        <v>1115</v>
      </c>
    </row>
    <row r="154" spans="1:12" x14ac:dyDescent="0.35">
      <c r="A154" s="27" t="s">
        <v>713</v>
      </c>
      <c r="B154" t="s">
        <v>361</v>
      </c>
      <c r="C154" t="s">
        <v>1080</v>
      </c>
      <c r="D154" t="s">
        <v>106</v>
      </c>
      <c r="E154" t="s">
        <v>1247</v>
      </c>
      <c r="F154" t="s">
        <v>914</v>
      </c>
      <c r="G154" t="s">
        <v>529</v>
      </c>
      <c r="H154">
        <v>1994</v>
      </c>
      <c r="I154" t="s">
        <v>1115</v>
      </c>
      <c r="J154" t="s">
        <v>1115</v>
      </c>
      <c r="K154" t="s">
        <v>1115</v>
      </c>
      <c r="L154" t="s">
        <v>1115</v>
      </c>
    </row>
    <row r="155" spans="1:12" x14ac:dyDescent="0.35">
      <c r="A155" s="27" t="s">
        <v>713</v>
      </c>
      <c r="B155" t="s">
        <v>362</v>
      </c>
      <c r="C155" t="s">
        <v>1080</v>
      </c>
      <c r="D155" t="s">
        <v>107</v>
      </c>
      <c r="E155" t="s">
        <v>1248</v>
      </c>
      <c r="F155" t="s">
        <v>914</v>
      </c>
      <c r="G155" t="s">
        <v>529</v>
      </c>
      <c r="H155">
        <v>1998</v>
      </c>
      <c r="I155" t="s">
        <v>1115</v>
      </c>
      <c r="J155" t="s">
        <v>1115</v>
      </c>
      <c r="K155" t="s">
        <v>1115</v>
      </c>
      <c r="L155" t="s">
        <v>1115</v>
      </c>
    </row>
    <row r="156" spans="1:12" x14ac:dyDescent="0.35">
      <c r="A156" s="27" t="s">
        <v>713</v>
      </c>
      <c r="B156" t="s">
        <v>363</v>
      </c>
      <c r="C156" t="s">
        <v>1080</v>
      </c>
      <c r="D156" t="s">
        <v>108</v>
      </c>
      <c r="E156" t="s">
        <v>512</v>
      </c>
      <c r="F156" t="s">
        <v>914</v>
      </c>
      <c r="G156" t="s">
        <v>529</v>
      </c>
      <c r="H156">
        <v>1998</v>
      </c>
      <c r="I156" t="s">
        <v>1115</v>
      </c>
      <c r="J156" t="s">
        <v>1115</v>
      </c>
      <c r="K156" t="s">
        <v>1115</v>
      </c>
      <c r="L156" t="s">
        <v>1115</v>
      </c>
    </row>
    <row r="157" spans="1:12" x14ac:dyDescent="0.35">
      <c r="A157" s="27" t="s">
        <v>713</v>
      </c>
      <c r="B157" t="s">
        <v>364</v>
      </c>
      <c r="C157" t="s">
        <v>1080</v>
      </c>
      <c r="D157" t="s">
        <v>64</v>
      </c>
      <c r="E157" t="s">
        <v>1249</v>
      </c>
      <c r="F157" t="s">
        <v>926</v>
      </c>
      <c r="G157" t="s">
        <v>529</v>
      </c>
      <c r="H157">
        <v>2002</v>
      </c>
      <c r="I157" t="s">
        <v>1115</v>
      </c>
      <c r="J157" t="s">
        <v>1115</v>
      </c>
      <c r="K157" t="s">
        <v>1115</v>
      </c>
      <c r="L157" t="s">
        <v>1115</v>
      </c>
    </row>
    <row r="158" spans="1:12" x14ac:dyDescent="0.35">
      <c r="A158" s="27" t="s">
        <v>713</v>
      </c>
      <c r="B158" t="s">
        <v>365</v>
      </c>
      <c r="C158" t="s">
        <v>1080</v>
      </c>
      <c r="D158" t="s">
        <v>286</v>
      </c>
      <c r="E158" t="s">
        <v>1250</v>
      </c>
      <c r="F158" t="s">
        <v>923</v>
      </c>
      <c r="G158" t="s">
        <v>529</v>
      </c>
      <c r="H158">
        <v>2003</v>
      </c>
      <c r="I158" t="s">
        <v>1115</v>
      </c>
      <c r="J158" t="s">
        <v>1115</v>
      </c>
      <c r="K158" t="s">
        <v>1115</v>
      </c>
      <c r="L158" t="s">
        <v>1115</v>
      </c>
    </row>
    <row r="159" spans="1:12" x14ac:dyDescent="0.35">
      <c r="A159" s="27" t="s">
        <v>713</v>
      </c>
      <c r="B159" t="s">
        <v>366</v>
      </c>
      <c r="C159" t="s">
        <v>1080</v>
      </c>
      <c r="D159" t="s">
        <v>243</v>
      </c>
      <c r="E159" t="s">
        <v>1251</v>
      </c>
      <c r="F159" t="s">
        <v>914</v>
      </c>
      <c r="G159" t="s">
        <v>529</v>
      </c>
      <c r="H159">
        <v>2005</v>
      </c>
      <c r="I159" t="s">
        <v>1115</v>
      </c>
      <c r="J159" t="s">
        <v>1115</v>
      </c>
      <c r="K159" t="s">
        <v>1115</v>
      </c>
      <c r="L159" t="s">
        <v>1115</v>
      </c>
    </row>
    <row r="160" spans="1:12" x14ac:dyDescent="0.35">
      <c r="A160" s="27" t="s">
        <v>713</v>
      </c>
      <c r="B160" t="s">
        <v>367</v>
      </c>
      <c r="C160" t="s">
        <v>1080</v>
      </c>
      <c r="D160" t="s">
        <v>186</v>
      </c>
      <c r="E160" t="s">
        <v>1252</v>
      </c>
      <c r="F160" t="s">
        <v>923</v>
      </c>
      <c r="G160" t="s">
        <v>1360</v>
      </c>
      <c r="H160">
        <v>1993</v>
      </c>
      <c r="I160" t="s">
        <v>1115</v>
      </c>
      <c r="J160" t="s">
        <v>1115</v>
      </c>
      <c r="K160" t="s">
        <v>1115</v>
      </c>
      <c r="L160" t="s">
        <v>1115</v>
      </c>
    </row>
    <row r="161" spans="1:12" x14ac:dyDescent="0.35">
      <c r="A161" s="27" t="s">
        <v>713</v>
      </c>
      <c r="B161" t="s">
        <v>368</v>
      </c>
      <c r="C161" t="s">
        <v>1080</v>
      </c>
      <c r="D161" t="s">
        <v>28</v>
      </c>
      <c r="E161" t="s">
        <v>1253</v>
      </c>
      <c r="F161" t="s">
        <v>926</v>
      </c>
      <c r="G161" t="s">
        <v>530</v>
      </c>
      <c r="H161">
        <v>1991</v>
      </c>
      <c r="I161" t="s">
        <v>1115</v>
      </c>
      <c r="J161" t="s">
        <v>1115</v>
      </c>
      <c r="K161" t="s">
        <v>1115</v>
      </c>
      <c r="L161" t="s">
        <v>1115</v>
      </c>
    </row>
    <row r="162" spans="1:12" x14ac:dyDescent="0.35">
      <c r="A162" s="27" t="s">
        <v>713</v>
      </c>
      <c r="B162" t="s">
        <v>369</v>
      </c>
      <c r="C162" t="s">
        <v>1080</v>
      </c>
      <c r="D162" t="s">
        <v>41</v>
      </c>
      <c r="E162" t="s">
        <v>513</v>
      </c>
      <c r="F162" t="s">
        <v>487</v>
      </c>
      <c r="G162" t="s">
        <v>530</v>
      </c>
      <c r="H162">
        <v>1992</v>
      </c>
      <c r="I162" t="s">
        <v>1115</v>
      </c>
      <c r="J162" t="s">
        <v>1115</v>
      </c>
      <c r="K162" t="s">
        <v>1115</v>
      </c>
      <c r="L162" t="s">
        <v>1115</v>
      </c>
    </row>
    <row r="163" spans="1:12" x14ac:dyDescent="0.35">
      <c r="A163" s="27" t="s">
        <v>713</v>
      </c>
      <c r="B163" t="s">
        <v>370</v>
      </c>
      <c r="C163" t="s">
        <v>1080</v>
      </c>
      <c r="D163" t="s">
        <v>90</v>
      </c>
      <c r="E163" t="s">
        <v>1254</v>
      </c>
      <c r="F163" t="s">
        <v>914</v>
      </c>
      <c r="G163" t="s">
        <v>530</v>
      </c>
      <c r="H163">
        <v>1993</v>
      </c>
      <c r="I163" t="s">
        <v>1115</v>
      </c>
      <c r="J163" t="s">
        <v>1115</v>
      </c>
      <c r="K163" t="s">
        <v>1115</v>
      </c>
      <c r="L163" t="s">
        <v>1115</v>
      </c>
    </row>
    <row r="164" spans="1:12" x14ac:dyDescent="0.35">
      <c r="A164" s="27" t="s">
        <v>713</v>
      </c>
      <c r="B164" t="s">
        <v>371</v>
      </c>
      <c r="C164" t="s">
        <v>1080</v>
      </c>
      <c r="D164" t="s">
        <v>294</v>
      </c>
      <c r="E164" t="s">
        <v>1255</v>
      </c>
      <c r="F164" t="s">
        <v>926</v>
      </c>
      <c r="G164" t="s">
        <v>530</v>
      </c>
      <c r="H164">
        <v>2003</v>
      </c>
      <c r="I164" t="s">
        <v>1115</v>
      </c>
      <c r="J164" t="s">
        <v>1115</v>
      </c>
      <c r="K164" t="s">
        <v>1115</v>
      </c>
      <c r="L164" t="s">
        <v>1115</v>
      </c>
    </row>
    <row r="165" spans="1:12" x14ac:dyDescent="0.35">
      <c r="A165" s="27" t="s">
        <v>713</v>
      </c>
      <c r="B165" t="s">
        <v>372</v>
      </c>
      <c r="C165" t="s">
        <v>1080</v>
      </c>
      <c r="D165" t="s">
        <v>65</v>
      </c>
      <c r="E165" t="s">
        <v>1256</v>
      </c>
      <c r="F165" t="s">
        <v>923</v>
      </c>
      <c r="G165" t="s">
        <v>531</v>
      </c>
      <c r="H165">
        <v>1984</v>
      </c>
      <c r="I165" t="s">
        <v>1115</v>
      </c>
      <c r="J165" t="s">
        <v>1115</v>
      </c>
      <c r="K165" t="s">
        <v>1115</v>
      </c>
      <c r="L165" t="s">
        <v>1115</v>
      </c>
    </row>
    <row r="166" spans="1:12" x14ac:dyDescent="0.35">
      <c r="A166" s="27" t="s">
        <v>713</v>
      </c>
      <c r="B166" t="s">
        <v>373</v>
      </c>
      <c r="C166" t="s">
        <v>1080</v>
      </c>
      <c r="D166" t="s">
        <v>44</v>
      </c>
      <c r="E166" t="s">
        <v>514</v>
      </c>
      <c r="F166" t="s">
        <v>487</v>
      </c>
      <c r="G166" t="s">
        <v>531</v>
      </c>
      <c r="H166">
        <v>1992</v>
      </c>
      <c r="I166" t="s">
        <v>1115</v>
      </c>
      <c r="J166" t="s">
        <v>1115</v>
      </c>
      <c r="K166" t="s">
        <v>1115</v>
      </c>
      <c r="L166" t="s">
        <v>1115</v>
      </c>
    </row>
    <row r="167" spans="1:12" x14ac:dyDescent="0.35">
      <c r="A167" s="27" t="s">
        <v>713</v>
      </c>
      <c r="B167" t="s">
        <v>374</v>
      </c>
      <c r="C167" t="s">
        <v>1080</v>
      </c>
      <c r="D167" t="s">
        <v>69</v>
      </c>
      <c r="E167" t="s">
        <v>1257</v>
      </c>
      <c r="F167" t="s">
        <v>926</v>
      </c>
      <c r="G167" t="s">
        <v>531</v>
      </c>
      <c r="H167">
        <v>1992</v>
      </c>
      <c r="I167" t="s">
        <v>1115</v>
      </c>
      <c r="J167" t="s">
        <v>1115</v>
      </c>
      <c r="K167" t="s">
        <v>1115</v>
      </c>
      <c r="L167" t="s">
        <v>1115</v>
      </c>
    </row>
    <row r="168" spans="1:12" x14ac:dyDescent="0.35">
      <c r="A168" s="27" t="s">
        <v>713</v>
      </c>
      <c r="B168" t="s">
        <v>375</v>
      </c>
      <c r="C168" t="s">
        <v>1080</v>
      </c>
      <c r="D168" t="s">
        <v>13</v>
      </c>
      <c r="E168" t="s">
        <v>1258</v>
      </c>
      <c r="F168" t="s">
        <v>914</v>
      </c>
      <c r="G168" t="s">
        <v>531</v>
      </c>
      <c r="H168">
        <v>1992</v>
      </c>
      <c r="I168" t="s">
        <v>1115</v>
      </c>
      <c r="J168" t="s">
        <v>1115</v>
      </c>
      <c r="K168" t="s">
        <v>1115</v>
      </c>
      <c r="L168" t="s">
        <v>1115</v>
      </c>
    </row>
    <row r="169" spans="1:12" x14ac:dyDescent="0.35">
      <c r="A169" s="27" t="s">
        <v>713</v>
      </c>
      <c r="B169" t="s">
        <v>376</v>
      </c>
      <c r="C169" t="s">
        <v>1080</v>
      </c>
      <c r="D169" t="s">
        <v>178</v>
      </c>
      <c r="E169" t="s">
        <v>1259</v>
      </c>
      <c r="F169" t="s">
        <v>926</v>
      </c>
      <c r="G169" t="s">
        <v>531</v>
      </c>
      <c r="H169">
        <v>1993</v>
      </c>
      <c r="I169" t="s">
        <v>1115</v>
      </c>
      <c r="J169" t="s">
        <v>1115</v>
      </c>
      <c r="K169" t="s">
        <v>1115</v>
      </c>
      <c r="L169" t="s">
        <v>1115</v>
      </c>
    </row>
    <row r="170" spans="1:12" x14ac:dyDescent="0.35">
      <c r="A170" s="27" t="s">
        <v>713</v>
      </c>
      <c r="B170" t="s">
        <v>377</v>
      </c>
      <c r="C170" t="s">
        <v>1080</v>
      </c>
      <c r="D170" t="s">
        <v>302</v>
      </c>
      <c r="E170" t="s">
        <v>515</v>
      </c>
      <c r="F170" t="s">
        <v>487</v>
      </c>
      <c r="G170" t="s">
        <v>531</v>
      </c>
      <c r="H170">
        <v>1994</v>
      </c>
      <c r="I170" t="s">
        <v>1115</v>
      </c>
      <c r="J170" t="s">
        <v>1115</v>
      </c>
      <c r="K170" t="s">
        <v>1115</v>
      </c>
      <c r="L170" t="s">
        <v>1115</v>
      </c>
    </row>
    <row r="171" spans="1:12" x14ac:dyDescent="0.35">
      <c r="A171" s="27" t="s">
        <v>713</v>
      </c>
      <c r="B171" t="s">
        <v>378</v>
      </c>
      <c r="C171" t="s">
        <v>1080</v>
      </c>
      <c r="D171" t="s">
        <v>147</v>
      </c>
      <c r="E171" t="s">
        <v>1260</v>
      </c>
      <c r="F171" t="s">
        <v>923</v>
      </c>
      <c r="G171" t="s">
        <v>531</v>
      </c>
      <c r="H171">
        <v>1995</v>
      </c>
      <c r="I171" t="s">
        <v>1115</v>
      </c>
      <c r="J171" t="s">
        <v>1115</v>
      </c>
      <c r="K171" t="s">
        <v>1115</v>
      </c>
      <c r="L171" t="s">
        <v>1115</v>
      </c>
    </row>
    <row r="172" spans="1:12" x14ac:dyDescent="0.35">
      <c r="A172" s="27" t="s">
        <v>713</v>
      </c>
      <c r="B172" t="s">
        <v>379</v>
      </c>
      <c r="C172" t="s">
        <v>1080</v>
      </c>
      <c r="D172" t="s">
        <v>181</v>
      </c>
      <c r="E172" t="s">
        <v>1261</v>
      </c>
      <c r="F172" t="s">
        <v>914</v>
      </c>
      <c r="G172" t="s">
        <v>531</v>
      </c>
      <c r="H172">
        <v>1997</v>
      </c>
      <c r="I172" t="s">
        <v>1115</v>
      </c>
      <c r="J172" t="s">
        <v>1115</v>
      </c>
      <c r="K172" t="s">
        <v>1115</v>
      </c>
      <c r="L172" t="s">
        <v>1115</v>
      </c>
    </row>
    <row r="173" spans="1:12" x14ac:dyDescent="0.35">
      <c r="A173" s="27" t="s">
        <v>713</v>
      </c>
      <c r="B173" t="s">
        <v>380</v>
      </c>
      <c r="C173" t="s">
        <v>1080</v>
      </c>
      <c r="D173" t="s">
        <v>219</v>
      </c>
      <c r="E173" t="s">
        <v>1262</v>
      </c>
      <c r="F173" t="s">
        <v>914</v>
      </c>
      <c r="G173" t="s">
        <v>531</v>
      </c>
      <c r="H173">
        <v>1998</v>
      </c>
      <c r="I173" t="s">
        <v>1115</v>
      </c>
      <c r="J173" t="s">
        <v>1115</v>
      </c>
      <c r="K173" t="s">
        <v>1115</v>
      </c>
      <c r="L173" t="s">
        <v>1115</v>
      </c>
    </row>
    <row r="174" spans="1:12" x14ac:dyDescent="0.35">
      <c r="A174" s="27" t="s">
        <v>713</v>
      </c>
      <c r="B174" t="s">
        <v>381</v>
      </c>
      <c r="C174" t="s">
        <v>1080</v>
      </c>
      <c r="D174" t="s">
        <v>181</v>
      </c>
      <c r="E174" t="s">
        <v>1263</v>
      </c>
      <c r="F174" t="s">
        <v>926</v>
      </c>
      <c r="G174" t="s">
        <v>531</v>
      </c>
      <c r="H174">
        <v>2001</v>
      </c>
      <c r="I174" t="s">
        <v>1115</v>
      </c>
      <c r="J174" t="s">
        <v>1115</v>
      </c>
      <c r="K174" t="s">
        <v>1115</v>
      </c>
      <c r="L174" t="s">
        <v>1115</v>
      </c>
    </row>
    <row r="175" spans="1:12" x14ac:dyDescent="0.35">
      <c r="A175" s="27" t="s">
        <v>713</v>
      </c>
      <c r="B175" t="s">
        <v>382</v>
      </c>
      <c r="C175" t="s">
        <v>1080</v>
      </c>
      <c r="D175" t="s">
        <v>234</v>
      </c>
      <c r="E175" t="s">
        <v>1264</v>
      </c>
      <c r="F175" t="s">
        <v>914</v>
      </c>
      <c r="G175" t="s">
        <v>531</v>
      </c>
      <c r="H175">
        <v>2001</v>
      </c>
      <c r="I175" t="s">
        <v>1115</v>
      </c>
      <c r="J175" t="s">
        <v>1115</v>
      </c>
      <c r="K175" t="s">
        <v>1115</v>
      </c>
      <c r="L175" t="s">
        <v>1115</v>
      </c>
    </row>
    <row r="176" spans="1:12" x14ac:dyDescent="0.35">
      <c r="A176" s="27" t="s">
        <v>713</v>
      </c>
      <c r="B176" t="s">
        <v>383</v>
      </c>
      <c r="C176" t="s">
        <v>1080</v>
      </c>
      <c r="D176" t="s">
        <v>116</v>
      </c>
      <c r="E176" t="s">
        <v>1265</v>
      </c>
      <c r="F176" t="s">
        <v>914</v>
      </c>
      <c r="G176" t="s">
        <v>531</v>
      </c>
      <c r="H176">
        <v>2001</v>
      </c>
      <c r="I176" t="s">
        <v>1115</v>
      </c>
      <c r="J176" t="s">
        <v>1115</v>
      </c>
      <c r="K176" t="s">
        <v>1115</v>
      </c>
      <c r="L176" t="s">
        <v>1115</v>
      </c>
    </row>
    <row r="177" spans="1:12" x14ac:dyDescent="0.35">
      <c r="A177" s="27" t="s">
        <v>713</v>
      </c>
      <c r="B177" t="s">
        <v>384</v>
      </c>
      <c r="C177" t="s">
        <v>1080</v>
      </c>
      <c r="D177" t="s">
        <v>295</v>
      </c>
      <c r="E177" t="s">
        <v>1266</v>
      </c>
      <c r="F177" t="s">
        <v>914</v>
      </c>
      <c r="G177" t="s">
        <v>531</v>
      </c>
      <c r="H177">
        <v>2007</v>
      </c>
      <c r="I177" t="s">
        <v>1115</v>
      </c>
      <c r="J177" t="s">
        <v>1115</v>
      </c>
      <c r="K177" t="s">
        <v>1115</v>
      </c>
      <c r="L177" t="s">
        <v>1115</v>
      </c>
    </row>
    <row r="178" spans="1:12" x14ac:dyDescent="0.35">
      <c r="A178" s="27" t="s">
        <v>713</v>
      </c>
      <c r="B178" t="s">
        <v>385</v>
      </c>
      <c r="C178" t="s">
        <v>1080</v>
      </c>
      <c r="D178" t="s">
        <v>156</v>
      </c>
      <c r="E178" t="s">
        <v>1267</v>
      </c>
      <c r="F178" t="s">
        <v>914</v>
      </c>
      <c r="G178" t="s">
        <v>532</v>
      </c>
      <c r="H178">
        <v>1982</v>
      </c>
      <c r="I178" t="s">
        <v>1115</v>
      </c>
      <c r="J178" t="s">
        <v>1115</v>
      </c>
      <c r="K178" t="s">
        <v>1115</v>
      </c>
      <c r="L178" t="s">
        <v>1115</v>
      </c>
    </row>
    <row r="179" spans="1:12" x14ac:dyDescent="0.35">
      <c r="A179" s="27" t="s">
        <v>713</v>
      </c>
      <c r="B179" t="s">
        <v>386</v>
      </c>
      <c r="C179" t="s">
        <v>1080</v>
      </c>
      <c r="D179" t="s">
        <v>131</v>
      </c>
      <c r="E179" t="s">
        <v>516</v>
      </c>
      <c r="F179" t="s">
        <v>487</v>
      </c>
      <c r="G179" t="s">
        <v>532</v>
      </c>
      <c r="H179">
        <v>1996</v>
      </c>
      <c r="I179" t="s">
        <v>1115</v>
      </c>
      <c r="J179" t="s">
        <v>1115</v>
      </c>
      <c r="K179" t="s">
        <v>1115</v>
      </c>
      <c r="L179" t="s">
        <v>1115</v>
      </c>
    </row>
    <row r="180" spans="1:12" x14ac:dyDescent="0.35">
      <c r="A180" s="27" t="s">
        <v>713</v>
      </c>
      <c r="B180" t="s">
        <v>387</v>
      </c>
      <c r="C180" t="s">
        <v>1080</v>
      </c>
      <c r="D180" t="s">
        <v>274</v>
      </c>
      <c r="E180" t="s">
        <v>1268</v>
      </c>
      <c r="F180" t="s">
        <v>923</v>
      </c>
      <c r="G180" t="s">
        <v>1125</v>
      </c>
      <c r="H180">
        <v>2001</v>
      </c>
      <c r="I180" t="s">
        <v>1115</v>
      </c>
      <c r="J180" t="s">
        <v>1115</v>
      </c>
      <c r="K180" t="s">
        <v>1115</v>
      </c>
      <c r="L180" t="s">
        <v>1115</v>
      </c>
    </row>
    <row r="181" spans="1:12" x14ac:dyDescent="0.35">
      <c r="A181" s="27" t="s">
        <v>713</v>
      </c>
      <c r="B181" t="s">
        <v>388</v>
      </c>
      <c r="C181" t="s">
        <v>1080</v>
      </c>
      <c r="D181" t="s">
        <v>88</v>
      </c>
      <c r="E181" t="s">
        <v>1269</v>
      </c>
      <c r="F181" t="s">
        <v>914</v>
      </c>
      <c r="G181" t="s">
        <v>1361</v>
      </c>
      <c r="H181">
        <v>1992</v>
      </c>
      <c r="I181" t="s">
        <v>1115</v>
      </c>
      <c r="J181" t="s">
        <v>1115</v>
      </c>
      <c r="K181" t="s">
        <v>1115</v>
      </c>
      <c r="L181" t="s">
        <v>1115</v>
      </c>
    </row>
    <row r="182" spans="1:12" x14ac:dyDescent="0.35">
      <c r="A182" s="27" t="s">
        <v>713</v>
      </c>
      <c r="B182" t="s">
        <v>389</v>
      </c>
      <c r="C182" t="s">
        <v>1080</v>
      </c>
      <c r="D182" t="s">
        <v>317</v>
      </c>
      <c r="E182" t="s">
        <v>517</v>
      </c>
      <c r="F182" t="s">
        <v>487</v>
      </c>
      <c r="G182" t="s">
        <v>1362</v>
      </c>
      <c r="H182">
        <v>1987</v>
      </c>
      <c r="I182" t="s">
        <v>1115</v>
      </c>
      <c r="J182" t="s">
        <v>1115</v>
      </c>
      <c r="K182" t="s">
        <v>1115</v>
      </c>
      <c r="L182" t="s">
        <v>1115</v>
      </c>
    </row>
    <row r="183" spans="1:12" x14ac:dyDescent="0.35">
      <c r="A183" s="27" t="s">
        <v>713</v>
      </c>
      <c r="B183" t="s">
        <v>390</v>
      </c>
      <c r="C183" t="s">
        <v>1080</v>
      </c>
      <c r="D183" t="s">
        <v>266</v>
      </c>
      <c r="E183" t="s">
        <v>1270</v>
      </c>
      <c r="F183" t="s">
        <v>926</v>
      </c>
      <c r="G183" t="s">
        <v>1363</v>
      </c>
      <c r="H183">
        <v>2002</v>
      </c>
      <c r="I183" t="s">
        <v>1115</v>
      </c>
      <c r="J183" t="s">
        <v>1115</v>
      </c>
      <c r="K183" t="s">
        <v>1115</v>
      </c>
      <c r="L183" t="s">
        <v>1115</v>
      </c>
    </row>
    <row r="184" spans="1:12" x14ac:dyDescent="0.35">
      <c r="A184" s="27" t="s">
        <v>713</v>
      </c>
      <c r="B184" t="s">
        <v>391</v>
      </c>
      <c r="C184" t="s">
        <v>1080</v>
      </c>
      <c r="D184" t="s">
        <v>272</v>
      </c>
      <c r="E184" t="s">
        <v>1271</v>
      </c>
      <c r="F184" t="s">
        <v>923</v>
      </c>
      <c r="G184" t="s">
        <v>1363</v>
      </c>
      <c r="H184">
        <v>2002</v>
      </c>
      <c r="I184" t="s">
        <v>1115</v>
      </c>
      <c r="J184" t="s">
        <v>1115</v>
      </c>
      <c r="K184" t="s">
        <v>1115</v>
      </c>
      <c r="L184" t="s">
        <v>1115</v>
      </c>
    </row>
    <row r="185" spans="1:12" x14ac:dyDescent="0.35">
      <c r="A185" s="27" t="s">
        <v>713</v>
      </c>
      <c r="B185" t="s">
        <v>392</v>
      </c>
      <c r="C185" t="s">
        <v>1080</v>
      </c>
      <c r="D185" t="s">
        <v>24</v>
      </c>
      <c r="E185" t="s">
        <v>1272</v>
      </c>
      <c r="F185" t="s">
        <v>926</v>
      </c>
      <c r="G185" t="s">
        <v>534</v>
      </c>
      <c r="H185">
        <v>1986</v>
      </c>
      <c r="I185" t="s">
        <v>1115</v>
      </c>
      <c r="J185" t="s">
        <v>1115</v>
      </c>
      <c r="K185" t="s">
        <v>1115</v>
      </c>
      <c r="L185" t="s">
        <v>1115</v>
      </c>
    </row>
    <row r="186" spans="1:12" x14ac:dyDescent="0.35">
      <c r="A186" s="27" t="s">
        <v>713</v>
      </c>
      <c r="B186" t="s">
        <v>393</v>
      </c>
      <c r="C186" t="s">
        <v>1080</v>
      </c>
      <c r="D186" t="s">
        <v>248</v>
      </c>
      <c r="E186" t="s">
        <v>518</v>
      </c>
      <c r="F186" t="s">
        <v>487</v>
      </c>
      <c r="G186" t="s">
        <v>534</v>
      </c>
      <c r="H186">
        <v>1995</v>
      </c>
      <c r="I186" t="s">
        <v>1115</v>
      </c>
      <c r="J186" t="s">
        <v>1115</v>
      </c>
      <c r="K186" t="s">
        <v>1115</v>
      </c>
      <c r="L186" t="s">
        <v>1115</v>
      </c>
    </row>
    <row r="187" spans="1:12" x14ac:dyDescent="0.35">
      <c r="A187" s="27" t="s">
        <v>713</v>
      </c>
      <c r="B187" t="s">
        <v>394</v>
      </c>
      <c r="C187" t="s">
        <v>1080</v>
      </c>
      <c r="D187" t="s">
        <v>259</v>
      </c>
      <c r="E187" t="s">
        <v>1273</v>
      </c>
      <c r="F187" t="s">
        <v>923</v>
      </c>
      <c r="G187" t="s">
        <v>534</v>
      </c>
      <c r="H187">
        <v>2002</v>
      </c>
      <c r="I187" t="s">
        <v>1115</v>
      </c>
      <c r="J187" t="s">
        <v>1115</v>
      </c>
      <c r="K187" t="s">
        <v>1115</v>
      </c>
      <c r="L187" t="s">
        <v>1115</v>
      </c>
    </row>
    <row r="188" spans="1:12" x14ac:dyDescent="0.35">
      <c r="A188" s="27" t="s">
        <v>713</v>
      </c>
      <c r="B188" t="s">
        <v>395</v>
      </c>
      <c r="C188" t="s">
        <v>1080</v>
      </c>
      <c r="D188" t="s">
        <v>251</v>
      </c>
      <c r="E188" t="s">
        <v>1274</v>
      </c>
      <c r="F188" t="s">
        <v>914</v>
      </c>
      <c r="G188" t="s">
        <v>1107</v>
      </c>
      <c r="H188">
        <v>2003</v>
      </c>
      <c r="I188" t="s">
        <v>1115</v>
      </c>
      <c r="J188" t="s">
        <v>1115</v>
      </c>
      <c r="K188" t="s">
        <v>1115</v>
      </c>
      <c r="L188" t="s">
        <v>1115</v>
      </c>
    </row>
    <row r="189" spans="1:12" x14ac:dyDescent="0.35">
      <c r="A189" s="27" t="s">
        <v>713</v>
      </c>
      <c r="B189" t="s">
        <v>396</v>
      </c>
      <c r="C189" t="s">
        <v>1080</v>
      </c>
      <c r="D189" t="s">
        <v>144</v>
      </c>
      <c r="E189" t="s">
        <v>1275</v>
      </c>
      <c r="F189" t="s">
        <v>923</v>
      </c>
      <c r="G189" t="s">
        <v>1364</v>
      </c>
      <c r="H189">
        <v>1994</v>
      </c>
      <c r="I189" t="s">
        <v>1115</v>
      </c>
      <c r="J189" t="s">
        <v>1115</v>
      </c>
      <c r="K189" t="s">
        <v>1115</v>
      </c>
      <c r="L189" t="s">
        <v>1115</v>
      </c>
    </row>
    <row r="190" spans="1:12" x14ac:dyDescent="0.35">
      <c r="A190" s="27" t="s">
        <v>713</v>
      </c>
      <c r="B190" t="s">
        <v>397</v>
      </c>
      <c r="C190" t="s">
        <v>1080</v>
      </c>
      <c r="D190" t="s">
        <v>31</v>
      </c>
      <c r="E190" t="s">
        <v>1276</v>
      </c>
      <c r="F190" t="s">
        <v>914</v>
      </c>
      <c r="G190" t="s">
        <v>1365</v>
      </c>
      <c r="H190">
        <v>1992</v>
      </c>
      <c r="I190" t="s">
        <v>1115</v>
      </c>
      <c r="J190" t="s">
        <v>1115</v>
      </c>
      <c r="K190" t="s">
        <v>1115</v>
      </c>
      <c r="L190" t="s">
        <v>1115</v>
      </c>
    </row>
    <row r="191" spans="1:12" x14ac:dyDescent="0.35">
      <c r="A191" s="27" t="s">
        <v>713</v>
      </c>
      <c r="B191" t="s">
        <v>398</v>
      </c>
      <c r="C191" t="s">
        <v>1080</v>
      </c>
      <c r="D191" t="s">
        <v>237</v>
      </c>
      <c r="E191" t="s">
        <v>1277</v>
      </c>
      <c r="F191" t="s">
        <v>923</v>
      </c>
      <c r="G191" t="s">
        <v>1366</v>
      </c>
      <c r="H191">
        <v>2003</v>
      </c>
      <c r="I191" t="s">
        <v>1115</v>
      </c>
      <c r="J191" t="s">
        <v>1115</v>
      </c>
      <c r="K191" t="s">
        <v>1115</v>
      </c>
      <c r="L191" t="s">
        <v>1115</v>
      </c>
    </row>
    <row r="192" spans="1:12" x14ac:dyDescent="0.35">
      <c r="A192" s="27" t="s">
        <v>713</v>
      </c>
      <c r="B192" t="s">
        <v>399</v>
      </c>
      <c r="C192" t="s">
        <v>1080</v>
      </c>
      <c r="D192" t="s">
        <v>154</v>
      </c>
      <c r="E192" t="s">
        <v>1278</v>
      </c>
      <c r="F192" t="s">
        <v>926</v>
      </c>
      <c r="G192" t="s">
        <v>1106</v>
      </c>
      <c r="H192">
        <v>1981</v>
      </c>
      <c r="I192" t="s">
        <v>1115</v>
      </c>
      <c r="J192" t="s">
        <v>1115</v>
      </c>
      <c r="K192" t="s">
        <v>1115</v>
      </c>
      <c r="L192" t="s">
        <v>1115</v>
      </c>
    </row>
    <row r="193" spans="1:12" x14ac:dyDescent="0.35">
      <c r="A193" s="27" t="s">
        <v>713</v>
      </c>
      <c r="B193" t="s">
        <v>400</v>
      </c>
      <c r="C193" t="s">
        <v>1080</v>
      </c>
      <c r="D193" t="s">
        <v>152</v>
      </c>
      <c r="E193" t="s">
        <v>1279</v>
      </c>
      <c r="F193" t="s">
        <v>926</v>
      </c>
      <c r="G193" t="s">
        <v>1106</v>
      </c>
      <c r="H193">
        <v>1984</v>
      </c>
      <c r="I193" t="s">
        <v>1115</v>
      </c>
      <c r="J193" t="s">
        <v>1115</v>
      </c>
      <c r="K193" t="s">
        <v>1115</v>
      </c>
      <c r="L193" t="s">
        <v>1115</v>
      </c>
    </row>
    <row r="194" spans="1:12" x14ac:dyDescent="0.35">
      <c r="A194" s="27" t="s">
        <v>713</v>
      </c>
      <c r="B194" t="s">
        <v>401</v>
      </c>
      <c r="C194" t="s">
        <v>1080</v>
      </c>
      <c r="D194" t="s">
        <v>46</v>
      </c>
      <c r="E194" t="s">
        <v>1280</v>
      </c>
      <c r="F194" t="s">
        <v>923</v>
      </c>
      <c r="G194" t="s">
        <v>1106</v>
      </c>
      <c r="H194">
        <v>1986</v>
      </c>
      <c r="I194" t="s">
        <v>1115</v>
      </c>
      <c r="J194" t="s">
        <v>1115</v>
      </c>
      <c r="K194" t="s">
        <v>1115</v>
      </c>
      <c r="L194" t="s">
        <v>1115</v>
      </c>
    </row>
    <row r="195" spans="1:12" x14ac:dyDescent="0.35">
      <c r="A195" s="27" t="s">
        <v>713</v>
      </c>
      <c r="B195" t="s">
        <v>402</v>
      </c>
      <c r="C195" t="s">
        <v>1080</v>
      </c>
      <c r="D195" t="s">
        <v>149</v>
      </c>
      <c r="E195" t="s">
        <v>1281</v>
      </c>
      <c r="F195" t="s">
        <v>923</v>
      </c>
      <c r="G195" t="s">
        <v>1106</v>
      </c>
      <c r="H195">
        <v>1987</v>
      </c>
      <c r="I195" t="s">
        <v>1115</v>
      </c>
      <c r="J195" t="s">
        <v>1115</v>
      </c>
      <c r="K195" t="s">
        <v>1115</v>
      </c>
      <c r="L195" t="s">
        <v>1115</v>
      </c>
    </row>
    <row r="196" spans="1:12" x14ac:dyDescent="0.35">
      <c r="A196" s="27" t="s">
        <v>713</v>
      </c>
      <c r="B196" t="s">
        <v>403</v>
      </c>
      <c r="C196" t="s">
        <v>1080</v>
      </c>
      <c r="D196" t="s">
        <v>46</v>
      </c>
      <c r="E196" t="s">
        <v>1282</v>
      </c>
      <c r="F196" t="s">
        <v>926</v>
      </c>
      <c r="G196" t="s">
        <v>1106</v>
      </c>
      <c r="H196">
        <v>1988</v>
      </c>
      <c r="I196" t="s">
        <v>1115</v>
      </c>
      <c r="J196" t="s">
        <v>1115</v>
      </c>
      <c r="K196" t="s">
        <v>1115</v>
      </c>
      <c r="L196" t="s">
        <v>1115</v>
      </c>
    </row>
    <row r="197" spans="1:12" x14ac:dyDescent="0.35">
      <c r="A197" s="27" t="s">
        <v>713</v>
      </c>
      <c r="B197" t="s">
        <v>404</v>
      </c>
      <c r="C197" t="s">
        <v>1080</v>
      </c>
      <c r="D197" t="s">
        <v>63</v>
      </c>
      <c r="E197" t="s">
        <v>1283</v>
      </c>
      <c r="F197" t="s">
        <v>923</v>
      </c>
      <c r="G197" t="s">
        <v>1106</v>
      </c>
      <c r="H197">
        <v>1989</v>
      </c>
      <c r="I197" t="s">
        <v>1115</v>
      </c>
      <c r="J197" t="s">
        <v>1115</v>
      </c>
      <c r="K197" t="s">
        <v>1115</v>
      </c>
      <c r="L197" t="s">
        <v>1115</v>
      </c>
    </row>
    <row r="198" spans="1:12" x14ac:dyDescent="0.35">
      <c r="A198" s="27" t="s">
        <v>713</v>
      </c>
      <c r="B198" t="s">
        <v>405</v>
      </c>
      <c r="C198" t="s">
        <v>1080</v>
      </c>
      <c r="D198" t="s">
        <v>140</v>
      </c>
      <c r="E198" t="s">
        <v>1284</v>
      </c>
      <c r="F198" t="s">
        <v>923</v>
      </c>
      <c r="G198" t="s">
        <v>1106</v>
      </c>
      <c r="H198">
        <v>1994</v>
      </c>
      <c r="I198" t="s">
        <v>1115</v>
      </c>
      <c r="J198" t="s">
        <v>1115</v>
      </c>
      <c r="K198" t="s">
        <v>1115</v>
      </c>
      <c r="L198" t="s">
        <v>1115</v>
      </c>
    </row>
    <row r="199" spans="1:12" x14ac:dyDescent="0.35">
      <c r="A199" s="27" t="s">
        <v>713</v>
      </c>
      <c r="B199" t="s">
        <v>406</v>
      </c>
      <c r="C199" t="s">
        <v>1080</v>
      </c>
      <c r="D199" t="s">
        <v>83</v>
      </c>
      <c r="E199" t="s">
        <v>1120</v>
      </c>
      <c r="F199" t="s">
        <v>926</v>
      </c>
      <c r="G199" t="s">
        <v>1106</v>
      </c>
      <c r="H199">
        <v>1996</v>
      </c>
      <c r="I199" t="s">
        <v>1115</v>
      </c>
      <c r="J199" t="s">
        <v>1115</v>
      </c>
      <c r="K199" t="s">
        <v>1115</v>
      </c>
      <c r="L199" t="s">
        <v>1115</v>
      </c>
    </row>
    <row r="200" spans="1:12" x14ac:dyDescent="0.35">
      <c r="A200" s="27" t="s">
        <v>713</v>
      </c>
      <c r="B200" t="s">
        <v>407</v>
      </c>
      <c r="C200" t="s">
        <v>1080</v>
      </c>
      <c r="D200" t="s">
        <v>227</v>
      </c>
      <c r="E200" t="s">
        <v>1285</v>
      </c>
      <c r="F200" t="s">
        <v>926</v>
      </c>
      <c r="G200" t="s">
        <v>1106</v>
      </c>
      <c r="H200">
        <v>1999</v>
      </c>
      <c r="I200" t="s">
        <v>1115</v>
      </c>
      <c r="J200" t="s">
        <v>1115</v>
      </c>
      <c r="K200" t="s">
        <v>1115</v>
      </c>
      <c r="L200" t="s">
        <v>1115</v>
      </c>
    </row>
    <row r="201" spans="1:12" x14ac:dyDescent="0.35">
      <c r="A201" s="27" t="s">
        <v>713</v>
      </c>
      <c r="B201" t="s">
        <v>408</v>
      </c>
      <c r="C201" t="s">
        <v>1080</v>
      </c>
      <c r="D201" t="s">
        <v>268</v>
      </c>
      <c r="E201" t="s">
        <v>1286</v>
      </c>
      <c r="F201" t="s">
        <v>926</v>
      </c>
      <c r="G201" t="s">
        <v>1106</v>
      </c>
      <c r="H201">
        <v>2002</v>
      </c>
      <c r="I201" t="s">
        <v>1115</v>
      </c>
      <c r="J201" t="s">
        <v>1115</v>
      </c>
      <c r="K201" t="s">
        <v>1115</v>
      </c>
      <c r="L201" t="s">
        <v>1115</v>
      </c>
    </row>
    <row r="202" spans="1:12" x14ac:dyDescent="0.35">
      <c r="A202" s="27" t="s">
        <v>713</v>
      </c>
      <c r="B202" t="s">
        <v>409</v>
      </c>
      <c r="C202" t="s">
        <v>1080</v>
      </c>
      <c r="D202" t="s">
        <v>300</v>
      </c>
      <c r="E202" t="s">
        <v>1287</v>
      </c>
      <c r="F202" t="s">
        <v>914</v>
      </c>
      <c r="G202" t="s">
        <v>1106</v>
      </c>
      <c r="H202">
        <v>2002</v>
      </c>
      <c r="I202" t="s">
        <v>1115</v>
      </c>
      <c r="J202" t="s">
        <v>1115</v>
      </c>
      <c r="K202" t="s">
        <v>1115</v>
      </c>
      <c r="L202" t="s">
        <v>1115</v>
      </c>
    </row>
    <row r="203" spans="1:12" x14ac:dyDescent="0.35">
      <c r="A203" s="27" t="s">
        <v>713</v>
      </c>
      <c r="B203" t="s">
        <v>410</v>
      </c>
      <c r="C203" t="s">
        <v>1080</v>
      </c>
      <c r="D203" t="s">
        <v>233</v>
      </c>
      <c r="E203" t="s">
        <v>1288</v>
      </c>
      <c r="F203" t="s">
        <v>914</v>
      </c>
      <c r="G203" t="s">
        <v>1106</v>
      </c>
      <c r="H203">
        <v>2003</v>
      </c>
      <c r="I203" t="s">
        <v>1115</v>
      </c>
      <c r="J203" t="s">
        <v>1115</v>
      </c>
      <c r="K203" t="s">
        <v>1115</v>
      </c>
      <c r="L203" t="s">
        <v>1115</v>
      </c>
    </row>
    <row r="204" spans="1:12" x14ac:dyDescent="0.35">
      <c r="A204" s="27" t="s">
        <v>713</v>
      </c>
      <c r="B204" t="s">
        <v>411</v>
      </c>
      <c r="C204" t="s">
        <v>1080</v>
      </c>
      <c r="D204" t="s">
        <v>110</v>
      </c>
      <c r="E204" t="s">
        <v>1289</v>
      </c>
      <c r="F204" t="s">
        <v>926</v>
      </c>
      <c r="G204" t="s">
        <v>1106</v>
      </c>
      <c r="H204">
        <v>2003</v>
      </c>
      <c r="I204" t="s">
        <v>1115</v>
      </c>
      <c r="J204" t="s">
        <v>1115</v>
      </c>
      <c r="K204" t="s">
        <v>1115</v>
      </c>
      <c r="L204" t="s">
        <v>1115</v>
      </c>
    </row>
    <row r="205" spans="1:12" x14ac:dyDescent="0.35">
      <c r="A205" s="27" t="s">
        <v>713</v>
      </c>
      <c r="B205" t="s">
        <v>412</v>
      </c>
      <c r="C205" t="s">
        <v>1080</v>
      </c>
      <c r="D205" t="s">
        <v>243</v>
      </c>
      <c r="E205" t="s">
        <v>1290</v>
      </c>
      <c r="F205" t="s">
        <v>923</v>
      </c>
      <c r="G205" t="s">
        <v>1106</v>
      </c>
      <c r="H205">
        <v>2004</v>
      </c>
      <c r="I205" t="s">
        <v>1115</v>
      </c>
      <c r="J205" t="s">
        <v>1115</v>
      </c>
      <c r="K205" t="s">
        <v>1115</v>
      </c>
      <c r="L205" t="s">
        <v>1115</v>
      </c>
    </row>
    <row r="206" spans="1:12" x14ac:dyDescent="0.35">
      <c r="A206" s="27" t="s">
        <v>713</v>
      </c>
      <c r="B206" t="s">
        <v>413</v>
      </c>
      <c r="C206" t="s">
        <v>1080</v>
      </c>
      <c r="D206" t="s">
        <v>289</v>
      </c>
      <c r="E206" t="s">
        <v>1291</v>
      </c>
      <c r="F206" t="s">
        <v>914</v>
      </c>
      <c r="G206" t="s">
        <v>1106</v>
      </c>
      <c r="H206">
        <v>2004</v>
      </c>
      <c r="I206" t="s">
        <v>1115</v>
      </c>
      <c r="J206" t="s">
        <v>1115</v>
      </c>
      <c r="K206" t="s">
        <v>1115</v>
      </c>
      <c r="L206" t="s">
        <v>1115</v>
      </c>
    </row>
    <row r="207" spans="1:12" x14ac:dyDescent="0.35">
      <c r="A207" s="27" t="s">
        <v>713</v>
      </c>
      <c r="B207" t="s">
        <v>414</v>
      </c>
      <c r="C207" t="s">
        <v>1080</v>
      </c>
      <c r="D207" t="s">
        <v>225</v>
      </c>
      <c r="E207" t="s">
        <v>1292</v>
      </c>
      <c r="F207" t="s">
        <v>926</v>
      </c>
      <c r="G207" t="s">
        <v>1106</v>
      </c>
      <c r="H207">
        <v>2005</v>
      </c>
      <c r="I207" t="s">
        <v>1115</v>
      </c>
      <c r="J207" t="s">
        <v>1115</v>
      </c>
      <c r="K207" t="s">
        <v>1115</v>
      </c>
      <c r="L207" t="s">
        <v>1115</v>
      </c>
    </row>
    <row r="208" spans="1:12" x14ac:dyDescent="0.35">
      <c r="A208" s="27" t="s">
        <v>713</v>
      </c>
      <c r="B208" t="s">
        <v>415</v>
      </c>
      <c r="C208" t="s">
        <v>1080</v>
      </c>
      <c r="D208" t="s">
        <v>223</v>
      </c>
      <c r="E208" t="s">
        <v>1293</v>
      </c>
      <c r="F208" t="s">
        <v>914</v>
      </c>
      <c r="G208" t="s">
        <v>1106</v>
      </c>
      <c r="H208">
        <v>2008</v>
      </c>
      <c r="I208" t="s">
        <v>1115</v>
      </c>
      <c r="J208" t="s">
        <v>1115</v>
      </c>
      <c r="K208" t="s">
        <v>1115</v>
      </c>
      <c r="L208" t="s">
        <v>1115</v>
      </c>
    </row>
    <row r="209" spans="1:12" x14ac:dyDescent="0.35">
      <c r="A209" s="27" t="s">
        <v>713</v>
      </c>
      <c r="B209" t="s">
        <v>416</v>
      </c>
      <c r="C209" t="s">
        <v>1080</v>
      </c>
      <c r="D209" t="s">
        <v>240</v>
      </c>
      <c r="E209" t="s">
        <v>1294</v>
      </c>
      <c r="F209" t="s">
        <v>914</v>
      </c>
      <c r="G209" t="s">
        <v>1367</v>
      </c>
      <c r="H209">
        <v>2002</v>
      </c>
      <c r="I209" t="s">
        <v>1115</v>
      </c>
      <c r="J209" t="s">
        <v>1115</v>
      </c>
      <c r="K209" t="s">
        <v>1115</v>
      </c>
      <c r="L209" t="s">
        <v>1115</v>
      </c>
    </row>
    <row r="210" spans="1:12" x14ac:dyDescent="0.35">
      <c r="A210" s="27" t="s">
        <v>713</v>
      </c>
      <c r="B210" t="s">
        <v>417</v>
      </c>
      <c r="C210" t="s">
        <v>1080</v>
      </c>
      <c r="D210" t="s">
        <v>134</v>
      </c>
      <c r="E210" t="s">
        <v>519</v>
      </c>
      <c r="F210" t="s">
        <v>487</v>
      </c>
      <c r="G210" t="s">
        <v>535</v>
      </c>
      <c r="H210">
        <v>1987</v>
      </c>
      <c r="I210" t="s">
        <v>1115</v>
      </c>
      <c r="J210" t="s">
        <v>1115</v>
      </c>
      <c r="K210" t="s">
        <v>1115</v>
      </c>
      <c r="L210" t="s">
        <v>1115</v>
      </c>
    </row>
    <row r="211" spans="1:12" x14ac:dyDescent="0.35">
      <c r="A211" s="27" t="s">
        <v>713</v>
      </c>
      <c r="B211" t="s">
        <v>418</v>
      </c>
      <c r="C211" t="s">
        <v>1080</v>
      </c>
      <c r="D211" t="s">
        <v>22</v>
      </c>
      <c r="E211" t="s">
        <v>1295</v>
      </c>
      <c r="F211" t="s">
        <v>914</v>
      </c>
      <c r="G211" t="s">
        <v>535</v>
      </c>
      <c r="H211">
        <v>1988</v>
      </c>
      <c r="I211" t="s">
        <v>1115</v>
      </c>
      <c r="J211" t="s">
        <v>1115</v>
      </c>
      <c r="K211" t="s">
        <v>1115</v>
      </c>
      <c r="L211" t="s">
        <v>1115</v>
      </c>
    </row>
    <row r="212" spans="1:12" x14ac:dyDescent="0.35">
      <c r="A212" s="27" t="s">
        <v>713</v>
      </c>
      <c r="B212" t="s">
        <v>419</v>
      </c>
      <c r="C212" t="s">
        <v>1080</v>
      </c>
      <c r="D212" t="s">
        <v>56</v>
      </c>
      <c r="E212" t="s">
        <v>1296</v>
      </c>
      <c r="F212" t="s">
        <v>914</v>
      </c>
      <c r="G212" t="s">
        <v>535</v>
      </c>
      <c r="H212">
        <v>1991</v>
      </c>
      <c r="I212" t="s">
        <v>1115</v>
      </c>
      <c r="J212" t="s">
        <v>1115</v>
      </c>
      <c r="K212" t="s">
        <v>1115</v>
      </c>
      <c r="L212" t="s">
        <v>1115</v>
      </c>
    </row>
    <row r="213" spans="1:12" x14ac:dyDescent="0.35">
      <c r="A213" s="27" t="s">
        <v>713</v>
      </c>
      <c r="B213" t="s">
        <v>420</v>
      </c>
      <c r="C213" t="s">
        <v>1080</v>
      </c>
      <c r="D213" t="s">
        <v>54</v>
      </c>
      <c r="E213" t="s">
        <v>1297</v>
      </c>
      <c r="F213" t="s">
        <v>926</v>
      </c>
      <c r="G213" t="s">
        <v>535</v>
      </c>
      <c r="H213">
        <v>1991</v>
      </c>
      <c r="I213" t="s">
        <v>1115</v>
      </c>
      <c r="J213" t="s">
        <v>1115</v>
      </c>
      <c r="K213" t="s">
        <v>1115</v>
      </c>
      <c r="L213" t="s">
        <v>1115</v>
      </c>
    </row>
    <row r="214" spans="1:12" x14ac:dyDescent="0.35">
      <c r="A214" s="27" t="s">
        <v>713</v>
      </c>
      <c r="B214" t="s">
        <v>421</v>
      </c>
      <c r="C214" t="s">
        <v>1080</v>
      </c>
      <c r="D214" t="s">
        <v>52</v>
      </c>
      <c r="E214" t="s">
        <v>1298</v>
      </c>
      <c r="F214" t="s">
        <v>926</v>
      </c>
      <c r="G214" t="s">
        <v>535</v>
      </c>
      <c r="H214">
        <v>1993</v>
      </c>
      <c r="I214" t="s">
        <v>1115</v>
      </c>
      <c r="J214" t="s">
        <v>1115</v>
      </c>
      <c r="K214" t="s">
        <v>1115</v>
      </c>
      <c r="L214" t="s">
        <v>1115</v>
      </c>
    </row>
    <row r="215" spans="1:12" x14ac:dyDescent="0.35">
      <c r="A215" s="27" t="s">
        <v>713</v>
      </c>
      <c r="B215" t="s">
        <v>422</v>
      </c>
      <c r="C215" t="s">
        <v>1080</v>
      </c>
      <c r="D215" t="s">
        <v>138</v>
      </c>
      <c r="E215" t="s">
        <v>1299</v>
      </c>
      <c r="F215" t="s">
        <v>923</v>
      </c>
      <c r="G215" t="s">
        <v>535</v>
      </c>
      <c r="H215">
        <v>1993</v>
      </c>
      <c r="I215" t="s">
        <v>1115</v>
      </c>
      <c r="J215" t="s">
        <v>1115</v>
      </c>
      <c r="K215" t="s">
        <v>1115</v>
      </c>
      <c r="L215" t="s">
        <v>1115</v>
      </c>
    </row>
    <row r="216" spans="1:12" x14ac:dyDescent="0.35">
      <c r="A216" s="27" t="s">
        <v>713</v>
      </c>
      <c r="B216" t="s">
        <v>423</v>
      </c>
      <c r="C216" t="s">
        <v>1080</v>
      </c>
      <c r="D216" t="s">
        <v>136</v>
      </c>
      <c r="E216" t="s">
        <v>1300</v>
      </c>
      <c r="F216" t="s">
        <v>926</v>
      </c>
      <c r="G216" t="s">
        <v>535</v>
      </c>
      <c r="H216">
        <v>1995</v>
      </c>
      <c r="I216" t="s">
        <v>1115</v>
      </c>
      <c r="J216" t="s">
        <v>1115</v>
      </c>
      <c r="K216" t="s">
        <v>1115</v>
      </c>
      <c r="L216" t="s">
        <v>1115</v>
      </c>
    </row>
    <row r="217" spans="1:12" x14ac:dyDescent="0.35">
      <c r="A217" s="27" t="s">
        <v>713</v>
      </c>
      <c r="B217" t="s">
        <v>424</v>
      </c>
      <c r="C217" t="s">
        <v>1080</v>
      </c>
      <c r="D217" t="s">
        <v>129</v>
      </c>
      <c r="E217" t="s">
        <v>520</v>
      </c>
      <c r="F217" t="s">
        <v>487</v>
      </c>
      <c r="G217" t="s">
        <v>535</v>
      </c>
      <c r="H217">
        <v>1996</v>
      </c>
      <c r="I217" t="s">
        <v>1115</v>
      </c>
      <c r="J217" t="s">
        <v>1115</v>
      </c>
      <c r="K217" t="s">
        <v>1115</v>
      </c>
      <c r="L217" t="s">
        <v>1115</v>
      </c>
    </row>
    <row r="218" spans="1:12" x14ac:dyDescent="0.35">
      <c r="A218" s="27" t="s">
        <v>713</v>
      </c>
      <c r="B218" t="s">
        <v>425</v>
      </c>
      <c r="C218" t="s">
        <v>1080</v>
      </c>
      <c r="D218" t="s">
        <v>206</v>
      </c>
      <c r="E218" t="s">
        <v>1301</v>
      </c>
      <c r="F218" t="s">
        <v>914</v>
      </c>
      <c r="G218" t="s">
        <v>535</v>
      </c>
      <c r="H218">
        <v>1997</v>
      </c>
      <c r="I218" t="s">
        <v>1115</v>
      </c>
      <c r="J218" t="s">
        <v>1115</v>
      </c>
      <c r="K218" t="s">
        <v>1115</v>
      </c>
      <c r="L218" t="s">
        <v>1115</v>
      </c>
    </row>
    <row r="219" spans="1:12" x14ac:dyDescent="0.35">
      <c r="A219" s="27" t="s">
        <v>713</v>
      </c>
      <c r="B219" t="s">
        <v>426</v>
      </c>
      <c r="C219" t="s">
        <v>1080</v>
      </c>
      <c r="D219" t="s">
        <v>214</v>
      </c>
      <c r="E219" t="s">
        <v>1302</v>
      </c>
      <c r="F219" t="s">
        <v>923</v>
      </c>
      <c r="G219" t="s">
        <v>535</v>
      </c>
      <c r="H219">
        <v>1998</v>
      </c>
      <c r="I219" t="s">
        <v>1115</v>
      </c>
      <c r="J219" t="s">
        <v>1115</v>
      </c>
      <c r="K219" t="s">
        <v>1115</v>
      </c>
      <c r="L219" t="s">
        <v>1115</v>
      </c>
    </row>
    <row r="220" spans="1:12" x14ac:dyDescent="0.35">
      <c r="A220" s="27" t="s">
        <v>713</v>
      </c>
      <c r="B220" t="s">
        <v>427</v>
      </c>
      <c r="C220" t="s">
        <v>1080</v>
      </c>
      <c r="D220" t="s">
        <v>16</v>
      </c>
      <c r="E220" t="s">
        <v>1303</v>
      </c>
      <c r="F220" t="s">
        <v>914</v>
      </c>
      <c r="G220" t="s">
        <v>535</v>
      </c>
      <c r="H220">
        <v>1999</v>
      </c>
      <c r="I220" t="s">
        <v>1115</v>
      </c>
      <c r="J220" t="s">
        <v>1115</v>
      </c>
      <c r="K220" t="s">
        <v>1115</v>
      </c>
      <c r="L220" t="s">
        <v>1115</v>
      </c>
    </row>
    <row r="221" spans="1:12" x14ac:dyDescent="0.35">
      <c r="A221" s="27" t="s">
        <v>713</v>
      </c>
      <c r="B221" t="s">
        <v>428</v>
      </c>
      <c r="C221" t="s">
        <v>1080</v>
      </c>
      <c r="D221" t="s">
        <v>204</v>
      </c>
      <c r="E221" t="s">
        <v>1304</v>
      </c>
      <c r="F221" t="s">
        <v>926</v>
      </c>
      <c r="G221" t="s">
        <v>535</v>
      </c>
      <c r="H221">
        <v>2000</v>
      </c>
      <c r="I221" t="s">
        <v>1115</v>
      </c>
      <c r="J221" t="s">
        <v>1115</v>
      </c>
      <c r="K221" t="s">
        <v>1115</v>
      </c>
      <c r="L221" t="s">
        <v>1115</v>
      </c>
    </row>
    <row r="222" spans="1:12" x14ac:dyDescent="0.35">
      <c r="A222" s="27" t="s">
        <v>713</v>
      </c>
      <c r="B222" t="s">
        <v>429</v>
      </c>
      <c r="C222" t="s">
        <v>1080</v>
      </c>
      <c r="D222" t="s">
        <v>216</v>
      </c>
      <c r="E222" t="s">
        <v>1305</v>
      </c>
      <c r="F222" t="s">
        <v>923</v>
      </c>
      <c r="G222" t="s">
        <v>535</v>
      </c>
      <c r="H222">
        <v>2000</v>
      </c>
      <c r="I222" t="s">
        <v>1115</v>
      </c>
      <c r="J222" t="s">
        <v>1115</v>
      </c>
      <c r="K222" t="s">
        <v>1115</v>
      </c>
      <c r="L222" t="s">
        <v>1115</v>
      </c>
    </row>
    <row r="223" spans="1:12" x14ac:dyDescent="0.35">
      <c r="A223" s="27" t="s">
        <v>713</v>
      </c>
      <c r="B223" t="s">
        <v>430</v>
      </c>
      <c r="C223" t="s">
        <v>1080</v>
      </c>
      <c r="D223" t="s">
        <v>208</v>
      </c>
      <c r="E223" t="s">
        <v>1306</v>
      </c>
      <c r="F223" t="s">
        <v>926</v>
      </c>
      <c r="G223" t="s">
        <v>535</v>
      </c>
      <c r="H223">
        <v>2001</v>
      </c>
      <c r="I223" t="s">
        <v>1115</v>
      </c>
      <c r="J223" t="s">
        <v>1115</v>
      </c>
      <c r="K223" t="s">
        <v>1115</v>
      </c>
      <c r="L223" t="s">
        <v>1115</v>
      </c>
    </row>
    <row r="224" spans="1:12" x14ac:dyDescent="0.35">
      <c r="A224" s="27" t="s">
        <v>713</v>
      </c>
      <c r="B224" t="s">
        <v>431</v>
      </c>
      <c r="C224" t="s">
        <v>1080</v>
      </c>
      <c r="D224" t="s">
        <v>208</v>
      </c>
      <c r="E224" t="s">
        <v>1306</v>
      </c>
      <c r="F224" t="s">
        <v>926</v>
      </c>
      <c r="G224" t="s">
        <v>535</v>
      </c>
      <c r="H224">
        <v>2002</v>
      </c>
      <c r="I224" t="s">
        <v>1115</v>
      </c>
      <c r="J224" t="s">
        <v>1115</v>
      </c>
      <c r="K224" t="s">
        <v>1115</v>
      </c>
      <c r="L224" t="s">
        <v>1115</v>
      </c>
    </row>
    <row r="225" spans="1:12" x14ac:dyDescent="0.35">
      <c r="A225" s="27" t="s">
        <v>713</v>
      </c>
      <c r="B225" t="s">
        <v>432</v>
      </c>
      <c r="C225" t="s">
        <v>1080</v>
      </c>
      <c r="D225" t="s">
        <v>210</v>
      </c>
      <c r="E225" t="s">
        <v>1307</v>
      </c>
      <c r="F225" t="s">
        <v>926</v>
      </c>
      <c r="G225" t="s">
        <v>535</v>
      </c>
      <c r="H225">
        <v>2003</v>
      </c>
      <c r="I225" t="s">
        <v>1115</v>
      </c>
      <c r="J225" t="s">
        <v>1115</v>
      </c>
      <c r="K225" t="s">
        <v>1115</v>
      </c>
      <c r="L225" t="s">
        <v>1115</v>
      </c>
    </row>
    <row r="226" spans="1:12" x14ac:dyDescent="0.35">
      <c r="A226" s="27" t="s">
        <v>713</v>
      </c>
      <c r="B226" t="s">
        <v>433</v>
      </c>
      <c r="C226" t="s">
        <v>1080</v>
      </c>
      <c r="D226" t="s">
        <v>270</v>
      </c>
      <c r="E226" t="s">
        <v>1308</v>
      </c>
      <c r="F226" t="s">
        <v>914</v>
      </c>
      <c r="G226" t="s">
        <v>535</v>
      </c>
      <c r="H226">
        <v>2004</v>
      </c>
      <c r="I226" t="s">
        <v>1115</v>
      </c>
      <c r="J226" t="s">
        <v>1115</v>
      </c>
      <c r="K226" t="s">
        <v>1115</v>
      </c>
      <c r="L226" t="s">
        <v>1115</v>
      </c>
    </row>
    <row r="227" spans="1:12" x14ac:dyDescent="0.35">
      <c r="A227" s="27" t="s">
        <v>713</v>
      </c>
      <c r="B227" t="s">
        <v>434</v>
      </c>
      <c r="C227" t="s">
        <v>1080</v>
      </c>
      <c r="D227" t="s">
        <v>280</v>
      </c>
      <c r="E227" t="s">
        <v>1309</v>
      </c>
      <c r="F227" t="s">
        <v>914</v>
      </c>
      <c r="G227" t="s">
        <v>1368</v>
      </c>
      <c r="H227">
        <v>2001</v>
      </c>
      <c r="I227" t="s">
        <v>1115</v>
      </c>
      <c r="J227" t="s">
        <v>1115</v>
      </c>
      <c r="K227" t="s">
        <v>1115</v>
      </c>
      <c r="L227" t="s">
        <v>1115</v>
      </c>
    </row>
    <row r="228" spans="1:12" x14ac:dyDescent="0.35">
      <c r="A228" s="27" t="s">
        <v>713</v>
      </c>
      <c r="B228" t="s">
        <v>435</v>
      </c>
      <c r="C228" t="s">
        <v>1080</v>
      </c>
      <c r="D228" t="s">
        <v>248</v>
      </c>
      <c r="E228" t="s">
        <v>1310</v>
      </c>
      <c r="F228" t="s">
        <v>926</v>
      </c>
      <c r="G228" t="s">
        <v>1369</v>
      </c>
      <c r="H228">
        <v>2001</v>
      </c>
      <c r="I228" t="s">
        <v>1115</v>
      </c>
      <c r="J228" t="s">
        <v>1115</v>
      </c>
      <c r="K228" t="s">
        <v>1115</v>
      </c>
      <c r="L228" t="s">
        <v>1115</v>
      </c>
    </row>
    <row r="229" spans="1:12" x14ac:dyDescent="0.35">
      <c r="A229" s="27" t="s">
        <v>713</v>
      </c>
      <c r="B229" t="s">
        <v>436</v>
      </c>
      <c r="C229" t="s">
        <v>1080</v>
      </c>
      <c r="D229" t="s">
        <v>254</v>
      </c>
      <c r="E229" t="s">
        <v>1311</v>
      </c>
      <c r="F229" t="s">
        <v>914</v>
      </c>
      <c r="G229" t="s">
        <v>1370</v>
      </c>
      <c r="H229">
        <v>2005</v>
      </c>
      <c r="I229" t="s">
        <v>1115</v>
      </c>
      <c r="J229" t="s">
        <v>1115</v>
      </c>
      <c r="K229" t="s">
        <v>1115</v>
      </c>
      <c r="L229" t="s">
        <v>1115</v>
      </c>
    </row>
    <row r="230" spans="1:12" x14ac:dyDescent="0.35">
      <c r="A230" s="27" t="s">
        <v>713</v>
      </c>
      <c r="B230" t="s">
        <v>437</v>
      </c>
      <c r="C230" t="s">
        <v>1080</v>
      </c>
      <c r="D230" t="s">
        <v>158</v>
      </c>
      <c r="E230" t="s">
        <v>1312</v>
      </c>
      <c r="F230" t="s">
        <v>926</v>
      </c>
      <c r="G230" t="s">
        <v>536</v>
      </c>
      <c r="H230">
        <v>1980</v>
      </c>
      <c r="I230" t="s">
        <v>1115</v>
      </c>
      <c r="J230" t="s">
        <v>1115</v>
      </c>
      <c r="K230" t="s">
        <v>1115</v>
      </c>
      <c r="L230" t="s">
        <v>1115</v>
      </c>
    </row>
    <row r="231" spans="1:12" x14ac:dyDescent="0.35">
      <c r="A231" s="27" t="s">
        <v>713</v>
      </c>
      <c r="B231" t="s">
        <v>438</v>
      </c>
      <c r="C231" t="s">
        <v>1080</v>
      </c>
      <c r="D231" t="s">
        <v>78</v>
      </c>
      <c r="E231" t="s">
        <v>1313</v>
      </c>
      <c r="F231" t="s">
        <v>923</v>
      </c>
      <c r="G231" t="s">
        <v>536</v>
      </c>
      <c r="H231">
        <v>1985</v>
      </c>
      <c r="I231" t="s">
        <v>1115</v>
      </c>
      <c r="J231" t="s">
        <v>1115</v>
      </c>
      <c r="K231" t="s">
        <v>1115</v>
      </c>
      <c r="L231" t="s">
        <v>1115</v>
      </c>
    </row>
    <row r="232" spans="1:12" x14ac:dyDescent="0.35">
      <c r="A232" s="27" t="s">
        <v>713</v>
      </c>
      <c r="B232" t="s">
        <v>439</v>
      </c>
      <c r="C232" t="s">
        <v>1080</v>
      </c>
      <c r="D232" t="s">
        <v>189</v>
      </c>
      <c r="E232" t="s">
        <v>1314</v>
      </c>
      <c r="F232" t="s">
        <v>923</v>
      </c>
      <c r="G232" t="s">
        <v>536</v>
      </c>
      <c r="H232">
        <v>1987</v>
      </c>
      <c r="I232" t="s">
        <v>1115</v>
      </c>
      <c r="J232" t="s">
        <v>1115</v>
      </c>
      <c r="K232" t="s">
        <v>1115</v>
      </c>
      <c r="L232" t="s">
        <v>1115</v>
      </c>
    </row>
    <row r="233" spans="1:12" x14ac:dyDescent="0.35">
      <c r="A233" s="27" t="s">
        <v>713</v>
      </c>
      <c r="B233" t="s">
        <v>440</v>
      </c>
      <c r="C233" t="s">
        <v>1080</v>
      </c>
      <c r="D233" t="s">
        <v>194</v>
      </c>
      <c r="E233" t="s">
        <v>1315</v>
      </c>
      <c r="F233" t="s">
        <v>914</v>
      </c>
      <c r="G233" t="s">
        <v>536</v>
      </c>
      <c r="H233">
        <v>1990</v>
      </c>
      <c r="I233" t="s">
        <v>1115</v>
      </c>
      <c r="J233" t="s">
        <v>1115</v>
      </c>
      <c r="K233" t="s">
        <v>1115</v>
      </c>
      <c r="L233" t="s">
        <v>1115</v>
      </c>
    </row>
    <row r="234" spans="1:12" x14ac:dyDescent="0.35">
      <c r="A234" s="27" t="s">
        <v>713</v>
      </c>
      <c r="B234" t="s">
        <v>441</v>
      </c>
      <c r="C234" t="s">
        <v>1080</v>
      </c>
      <c r="D234" t="s">
        <v>183</v>
      </c>
      <c r="E234" t="s">
        <v>1316</v>
      </c>
      <c r="F234" t="s">
        <v>926</v>
      </c>
      <c r="G234" t="s">
        <v>536</v>
      </c>
      <c r="H234">
        <v>1992</v>
      </c>
      <c r="I234" t="s">
        <v>1115</v>
      </c>
      <c r="J234" t="s">
        <v>1115</v>
      </c>
      <c r="K234" t="s">
        <v>1115</v>
      </c>
      <c r="L234" t="s">
        <v>1115</v>
      </c>
    </row>
    <row r="235" spans="1:12" x14ac:dyDescent="0.35">
      <c r="A235" s="27" t="s">
        <v>713</v>
      </c>
      <c r="B235" t="s">
        <v>442</v>
      </c>
      <c r="C235" t="s">
        <v>1080</v>
      </c>
      <c r="D235" t="s">
        <v>176</v>
      </c>
      <c r="E235" t="s">
        <v>1317</v>
      </c>
      <c r="F235" t="s">
        <v>926</v>
      </c>
      <c r="G235" t="s">
        <v>536</v>
      </c>
      <c r="H235">
        <v>1993</v>
      </c>
      <c r="I235" t="s">
        <v>1115</v>
      </c>
      <c r="J235" t="s">
        <v>1115</v>
      </c>
      <c r="K235" t="s">
        <v>1115</v>
      </c>
      <c r="L235" t="s">
        <v>1115</v>
      </c>
    </row>
    <row r="236" spans="1:12" x14ac:dyDescent="0.35">
      <c r="A236" s="27" t="s">
        <v>713</v>
      </c>
      <c r="B236" t="s">
        <v>443</v>
      </c>
      <c r="C236" t="s">
        <v>1080</v>
      </c>
      <c r="D236" t="s">
        <v>189</v>
      </c>
      <c r="E236" t="s">
        <v>1318</v>
      </c>
      <c r="F236" t="s">
        <v>923</v>
      </c>
      <c r="G236" t="s">
        <v>536</v>
      </c>
      <c r="H236">
        <v>1994</v>
      </c>
      <c r="I236" t="s">
        <v>1115</v>
      </c>
      <c r="J236" t="s">
        <v>1115</v>
      </c>
      <c r="K236" t="s">
        <v>1115</v>
      </c>
      <c r="L236" t="s">
        <v>1115</v>
      </c>
    </row>
    <row r="237" spans="1:12" x14ac:dyDescent="0.35">
      <c r="A237" s="27" t="s">
        <v>713</v>
      </c>
      <c r="B237" t="s">
        <v>444</v>
      </c>
      <c r="C237" t="s">
        <v>1080</v>
      </c>
      <c r="D237" t="s">
        <v>221</v>
      </c>
      <c r="E237" t="s">
        <v>1319</v>
      </c>
      <c r="F237" t="s">
        <v>926</v>
      </c>
      <c r="G237" t="s">
        <v>536</v>
      </c>
      <c r="H237">
        <v>1997</v>
      </c>
      <c r="I237" t="s">
        <v>1115</v>
      </c>
      <c r="J237" t="s">
        <v>1115</v>
      </c>
      <c r="K237" t="s">
        <v>1115</v>
      </c>
      <c r="L237" t="s">
        <v>1115</v>
      </c>
    </row>
    <row r="238" spans="1:12" x14ac:dyDescent="0.35">
      <c r="A238" s="27" t="s">
        <v>713</v>
      </c>
      <c r="B238" t="s">
        <v>445</v>
      </c>
      <c r="C238" t="s">
        <v>1080</v>
      </c>
      <c r="D238" t="s">
        <v>114</v>
      </c>
      <c r="E238" t="s">
        <v>1320</v>
      </c>
      <c r="F238" t="s">
        <v>914</v>
      </c>
      <c r="G238" t="s">
        <v>536</v>
      </c>
      <c r="H238">
        <v>1998</v>
      </c>
      <c r="I238" t="s">
        <v>1115</v>
      </c>
      <c r="J238" t="s">
        <v>1115</v>
      </c>
      <c r="K238" t="s">
        <v>1115</v>
      </c>
      <c r="L238" t="s">
        <v>1115</v>
      </c>
    </row>
    <row r="239" spans="1:12" x14ac:dyDescent="0.35">
      <c r="A239" s="27" t="s">
        <v>713</v>
      </c>
      <c r="B239" t="s">
        <v>446</v>
      </c>
      <c r="C239" t="s">
        <v>1080</v>
      </c>
      <c r="D239" t="s">
        <v>306</v>
      </c>
      <c r="E239" t="s">
        <v>521</v>
      </c>
      <c r="F239" t="s">
        <v>487</v>
      </c>
      <c r="G239" t="s">
        <v>536</v>
      </c>
      <c r="H239">
        <v>1999</v>
      </c>
      <c r="I239" t="s">
        <v>1115</v>
      </c>
      <c r="J239" t="s">
        <v>1115</v>
      </c>
      <c r="K239" t="s">
        <v>1115</v>
      </c>
      <c r="L239" t="s">
        <v>1115</v>
      </c>
    </row>
    <row r="240" spans="1:12" x14ac:dyDescent="0.35">
      <c r="A240" s="27" t="s">
        <v>713</v>
      </c>
      <c r="B240" t="s">
        <v>447</v>
      </c>
      <c r="C240" t="s">
        <v>1080</v>
      </c>
      <c r="D240" t="s">
        <v>263</v>
      </c>
      <c r="E240" t="s">
        <v>1321</v>
      </c>
      <c r="F240" t="s">
        <v>923</v>
      </c>
      <c r="G240" t="s">
        <v>536</v>
      </c>
      <c r="H240">
        <v>2003</v>
      </c>
      <c r="I240" t="s">
        <v>1115</v>
      </c>
      <c r="J240" t="s">
        <v>1115</v>
      </c>
      <c r="K240" t="s">
        <v>1115</v>
      </c>
      <c r="L240" t="s">
        <v>1115</v>
      </c>
    </row>
    <row r="241" spans="1:12" x14ac:dyDescent="0.35">
      <c r="A241" s="27" t="s">
        <v>713</v>
      </c>
      <c r="B241" t="s">
        <v>448</v>
      </c>
      <c r="C241" t="s">
        <v>1080</v>
      </c>
      <c r="D241" t="s">
        <v>178</v>
      </c>
      <c r="E241" t="s">
        <v>1322</v>
      </c>
      <c r="F241" t="s">
        <v>926</v>
      </c>
      <c r="G241" t="s">
        <v>536</v>
      </c>
      <c r="H241">
        <v>2004</v>
      </c>
      <c r="I241" t="s">
        <v>1115</v>
      </c>
      <c r="J241" t="s">
        <v>1115</v>
      </c>
      <c r="K241" t="s">
        <v>1115</v>
      </c>
      <c r="L241" t="s">
        <v>1115</v>
      </c>
    </row>
    <row r="242" spans="1:12" x14ac:dyDescent="0.35">
      <c r="A242" s="27" t="s">
        <v>713</v>
      </c>
      <c r="B242" t="s">
        <v>449</v>
      </c>
      <c r="C242" t="s">
        <v>1080</v>
      </c>
      <c r="D242" t="s">
        <v>78</v>
      </c>
      <c r="E242" t="s">
        <v>1323</v>
      </c>
      <c r="F242" t="s">
        <v>923</v>
      </c>
      <c r="G242" t="s">
        <v>536</v>
      </c>
      <c r="H242">
        <v>2004</v>
      </c>
      <c r="I242" t="s">
        <v>1115</v>
      </c>
      <c r="J242" t="s">
        <v>1115</v>
      </c>
      <c r="K242" t="s">
        <v>1115</v>
      </c>
      <c r="L242" t="s">
        <v>1115</v>
      </c>
    </row>
    <row r="243" spans="1:12" x14ac:dyDescent="0.35">
      <c r="A243" s="27" t="s">
        <v>713</v>
      </c>
      <c r="B243" t="s">
        <v>450</v>
      </c>
      <c r="C243" t="s">
        <v>1080</v>
      </c>
      <c r="D243" t="s">
        <v>197</v>
      </c>
      <c r="E243" t="s">
        <v>1324</v>
      </c>
      <c r="F243" t="s">
        <v>926</v>
      </c>
      <c r="G243" t="s">
        <v>1371</v>
      </c>
      <c r="H243">
        <v>1994</v>
      </c>
      <c r="I243" t="s">
        <v>1115</v>
      </c>
      <c r="J243" t="s">
        <v>1115</v>
      </c>
      <c r="K243" t="s">
        <v>1115</v>
      </c>
      <c r="L243" t="s">
        <v>1115</v>
      </c>
    </row>
    <row r="244" spans="1:12" x14ac:dyDescent="0.35">
      <c r="A244" s="27" t="s">
        <v>713</v>
      </c>
      <c r="B244" t="s">
        <v>451</v>
      </c>
      <c r="C244" t="s">
        <v>1080</v>
      </c>
      <c r="D244" t="s">
        <v>85</v>
      </c>
      <c r="E244" t="s">
        <v>1325</v>
      </c>
      <c r="F244" t="s">
        <v>923</v>
      </c>
      <c r="G244" t="s">
        <v>1371</v>
      </c>
      <c r="H244">
        <v>1999</v>
      </c>
      <c r="I244" t="s">
        <v>1115</v>
      </c>
      <c r="J244" t="s">
        <v>1115</v>
      </c>
      <c r="K244" t="s">
        <v>1115</v>
      </c>
      <c r="L244" t="s">
        <v>1115</v>
      </c>
    </row>
    <row r="245" spans="1:12" x14ac:dyDescent="0.35">
      <c r="A245" s="27" t="s">
        <v>713</v>
      </c>
      <c r="B245" t="s">
        <v>452</v>
      </c>
      <c r="C245" t="s">
        <v>1080</v>
      </c>
      <c r="D245" t="s">
        <v>326</v>
      </c>
      <c r="E245" t="s">
        <v>522</v>
      </c>
      <c r="F245" t="s">
        <v>487</v>
      </c>
      <c r="G245" t="s">
        <v>537</v>
      </c>
      <c r="H245">
        <v>1986</v>
      </c>
      <c r="I245" t="s">
        <v>1115</v>
      </c>
      <c r="J245" t="s">
        <v>1115</v>
      </c>
      <c r="K245" t="s">
        <v>1115</v>
      </c>
      <c r="L245" t="s">
        <v>1115</v>
      </c>
    </row>
    <row r="246" spans="1:12" x14ac:dyDescent="0.35">
      <c r="A246" s="27" t="s">
        <v>713</v>
      </c>
      <c r="B246" t="s">
        <v>453</v>
      </c>
      <c r="C246" t="s">
        <v>1080</v>
      </c>
      <c r="D246" t="s">
        <v>123</v>
      </c>
      <c r="E246" t="s">
        <v>1326</v>
      </c>
      <c r="F246" t="s">
        <v>914</v>
      </c>
      <c r="G246" t="s">
        <v>1129</v>
      </c>
      <c r="H246">
        <v>1999</v>
      </c>
      <c r="I246" t="s">
        <v>1115</v>
      </c>
      <c r="J246" t="s">
        <v>1115</v>
      </c>
      <c r="K246" t="s">
        <v>1115</v>
      </c>
      <c r="L246" t="s">
        <v>1115</v>
      </c>
    </row>
    <row r="247" spans="1:12" x14ac:dyDescent="0.35">
      <c r="A247" s="27" t="s">
        <v>713</v>
      </c>
      <c r="B247" t="s">
        <v>454</v>
      </c>
      <c r="C247" t="s">
        <v>1080</v>
      </c>
      <c r="D247" t="s">
        <v>38</v>
      </c>
      <c r="E247" t="s">
        <v>1327</v>
      </c>
      <c r="F247" t="s">
        <v>914</v>
      </c>
      <c r="G247" t="s">
        <v>1126</v>
      </c>
      <c r="H247">
        <v>2000</v>
      </c>
      <c r="I247" t="s">
        <v>1115</v>
      </c>
      <c r="J247" t="s">
        <v>1115</v>
      </c>
      <c r="K247" t="s">
        <v>1115</v>
      </c>
      <c r="L247" t="s">
        <v>1115</v>
      </c>
    </row>
    <row r="248" spans="1:12" x14ac:dyDescent="0.35">
      <c r="A248" s="27" t="s">
        <v>713</v>
      </c>
      <c r="B248" s="22" t="s">
        <v>455</v>
      </c>
      <c r="C248" s="22" t="s">
        <v>1080</v>
      </c>
      <c r="D248" s="22" t="s">
        <v>165</v>
      </c>
      <c r="E248" s="22" t="s">
        <v>1328</v>
      </c>
      <c r="F248" t="s">
        <v>914</v>
      </c>
      <c r="G248" s="22" t="s">
        <v>1375</v>
      </c>
      <c r="H248" s="22">
        <v>1990</v>
      </c>
      <c r="I248" t="s">
        <v>1115</v>
      </c>
      <c r="J248" t="s">
        <v>1115</v>
      </c>
      <c r="K248" t="s">
        <v>1115</v>
      </c>
      <c r="L248" t="s">
        <v>1115</v>
      </c>
    </row>
    <row r="249" spans="1:12" x14ac:dyDescent="0.35">
      <c r="A249" s="27" t="s">
        <v>713</v>
      </c>
      <c r="B249" t="s">
        <v>456</v>
      </c>
      <c r="C249" t="s">
        <v>1080</v>
      </c>
      <c r="D249" t="s">
        <v>163</v>
      </c>
      <c r="E249" t="s">
        <v>1329</v>
      </c>
      <c r="F249" t="s">
        <v>914</v>
      </c>
      <c r="G249" t="s">
        <v>1105</v>
      </c>
      <c r="H249">
        <v>1985</v>
      </c>
      <c r="I249" t="s">
        <v>1115</v>
      </c>
      <c r="J249" t="s">
        <v>1115</v>
      </c>
      <c r="K249" t="s">
        <v>1115</v>
      </c>
      <c r="L249" t="s">
        <v>1115</v>
      </c>
    </row>
    <row r="250" spans="1:12" x14ac:dyDescent="0.35">
      <c r="A250" s="27" t="s">
        <v>713</v>
      </c>
      <c r="B250" t="s">
        <v>457</v>
      </c>
      <c r="C250" t="s">
        <v>1080</v>
      </c>
      <c r="D250" t="s">
        <v>34</v>
      </c>
      <c r="E250" t="s">
        <v>1330</v>
      </c>
      <c r="F250" t="s">
        <v>923</v>
      </c>
      <c r="G250" t="s">
        <v>1105</v>
      </c>
      <c r="H250">
        <v>1991</v>
      </c>
      <c r="I250" t="s">
        <v>1115</v>
      </c>
      <c r="J250" t="s">
        <v>1115</v>
      </c>
      <c r="K250" t="s">
        <v>1115</v>
      </c>
      <c r="L250" t="s">
        <v>1115</v>
      </c>
    </row>
    <row r="251" spans="1:12" x14ac:dyDescent="0.35">
      <c r="A251" s="27" t="s">
        <v>713</v>
      </c>
      <c r="B251" t="s">
        <v>458</v>
      </c>
      <c r="C251" t="s">
        <v>1080</v>
      </c>
      <c r="D251" t="s">
        <v>102</v>
      </c>
      <c r="E251" t="s">
        <v>1331</v>
      </c>
      <c r="F251" t="s">
        <v>914</v>
      </c>
      <c r="G251" t="s">
        <v>1105</v>
      </c>
      <c r="H251">
        <v>1994</v>
      </c>
      <c r="I251" t="s">
        <v>1115</v>
      </c>
      <c r="J251" t="s">
        <v>1115</v>
      </c>
      <c r="K251" t="s">
        <v>1115</v>
      </c>
      <c r="L251" t="s">
        <v>1115</v>
      </c>
    </row>
    <row r="252" spans="1:12" x14ac:dyDescent="0.35">
      <c r="A252" s="27" t="s">
        <v>713</v>
      </c>
      <c r="B252" t="s">
        <v>459</v>
      </c>
      <c r="C252" t="s">
        <v>1080</v>
      </c>
      <c r="D252" t="s">
        <v>262</v>
      </c>
      <c r="E252" t="s">
        <v>1332</v>
      </c>
      <c r="F252" t="s">
        <v>923</v>
      </c>
      <c r="G252" t="s">
        <v>1105</v>
      </c>
      <c r="H252">
        <v>2002</v>
      </c>
      <c r="I252" t="s">
        <v>1115</v>
      </c>
      <c r="J252" t="s">
        <v>1115</v>
      </c>
      <c r="K252" t="s">
        <v>1115</v>
      </c>
      <c r="L252" t="s">
        <v>1115</v>
      </c>
    </row>
    <row r="253" spans="1:12" x14ac:dyDescent="0.35">
      <c r="A253" s="27" t="s">
        <v>713</v>
      </c>
      <c r="B253" t="s">
        <v>460</v>
      </c>
      <c r="C253" t="s">
        <v>1080</v>
      </c>
      <c r="D253" t="s">
        <v>49</v>
      </c>
      <c r="E253" t="s">
        <v>1333</v>
      </c>
      <c r="F253" t="s">
        <v>914</v>
      </c>
      <c r="G253" t="s">
        <v>1105</v>
      </c>
      <c r="H253">
        <v>2002</v>
      </c>
      <c r="I253" t="s">
        <v>1115</v>
      </c>
      <c r="J253" t="s">
        <v>1115</v>
      </c>
      <c r="K253" t="s">
        <v>1115</v>
      </c>
      <c r="L253" t="s">
        <v>1115</v>
      </c>
    </row>
    <row r="254" spans="1:12" x14ac:dyDescent="0.35">
      <c r="A254" s="27" t="s">
        <v>713</v>
      </c>
      <c r="B254" t="s">
        <v>461</v>
      </c>
      <c r="C254" t="s">
        <v>1080</v>
      </c>
      <c r="D254" t="s">
        <v>212</v>
      </c>
      <c r="E254" t="s">
        <v>1334</v>
      </c>
      <c r="F254" t="s">
        <v>926</v>
      </c>
      <c r="G254" t="s">
        <v>1105</v>
      </c>
      <c r="H254">
        <v>2003</v>
      </c>
      <c r="I254" t="s">
        <v>1115</v>
      </c>
      <c r="J254" t="s">
        <v>1115</v>
      </c>
      <c r="K254" t="s">
        <v>1115</v>
      </c>
      <c r="L254" t="s">
        <v>1115</v>
      </c>
    </row>
    <row r="255" spans="1:12" x14ac:dyDescent="0.35">
      <c r="A255" s="27" t="s">
        <v>713</v>
      </c>
      <c r="B255" t="s">
        <v>462</v>
      </c>
      <c r="C255" t="s">
        <v>1080</v>
      </c>
      <c r="D255" t="s">
        <v>153</v>
      </c>
      <c r="E255" t="s">
        <v>1335</v>
      </c>
      <c r="F255" t="s">
        <v>926</v>
      </c>
      <c r="G255" t="s">
        <v>1105</v>
      </c>
      <c r="H255">
        <v>2004</v>
      </c>
      <c r="I255" t="s">
        <v>1115</v>
      </c>
      <c r="J255" t="s">
        <v>1115</v>
      </c>
      <c r="K255" t="s">
        <v>1115</v>
      </c>
      <c r="L255" t="s">
        <v>1115</v>
      </c>
    </row>
    <row r="256" spans="1:12" x14ac:dyDescent="0.35">
      <c r="A256" s="27" t="s">
        <v>713</v>
      </c>
      <c r="B256" t="s">
        <v>463</v>
      </c>
      <c r="C256" t="s">
        <v>1080</v>
      </c>
      <c r="D256" t="s">
        <v>19</v>
      </c>
      <c r="E256" t="s">
        <v>1336</v>
      </c>
      <c r="F256" t="s">
        <v>914</v>
      </c>
      <c r="G256" t="s">
        <v>538</v>
      </c>
      <c r="H256">
        <v>1988</v>
      </c>
      <c r="I256" t="s">
        <v>1115</v>
      </c>
      <c r="J256" t="s">
        <v>1115</v>
      </c>
      <c r="K256" t="s">
        <v>1115</v>
      </c>
      <c r="L256" t="s">
        <v>1115</v>
      </c>
    </row>
    <row r="257" spans="1:12" x14ac:dyDescent="0.35">
      <c r="A257" s="27" t="s">
        <v>713</v>
      </c>
      <c r="B257" t="s">
        <v>464</v>
      </c>
      <c r="C257" t="s">
        <v>1080</v>
      </c>
      <c r="D257" t="s">
        <v>315</v>
      </c>
      <c r="E257" t="s">
        <v>523</v>
      </c>
      <c r="F257" t="s">
        <v>487</v>
      </c>
      <c r="G257" t="s">
        <v>538</v>
      </c>
      <c r="H257">
        <v>1991</v>
      </c>
      <c r="I257" t="s">
        <v>1115</v>
      </c>
      <c r="J257" t="s">
        <v>1115</v>
      </c>
      <c r="K257" t="s">
        <v>1115</v>
      </c>
      <c r="L257" t="s">
        <v>1115</v>
      </c>
    </row>
    <row r="258" spans="1:12" x14ac:dyDescent="0.35">
      <c r="A258" s="27" t="s">
        <v>713</v>
      </c>
      <c r="B258" t="s">
        <v>465</v>
      </c>
      <c r="C258" t="s">
        <v>1080</v>
      </c>
      <c r="D258" t="s">
        <v>10</v>
      </c>
      <c r="E258" t="s">
        <v>1101</v>
      </c>
      <c r="F258" t="s">
        <v>914</v>
      </c>
      <c r="G258" t="s">
        <v>1086</v>
      </c>
      <c r="H258">
        <v>1985</v>
      </c>
      <c r="I258" t="s">
        <v>1115</v>
      </c>
      <c r="J258" t="s">
        <v>1115</v>
      </c>
      <c r="K258" t="s">
        <v>1115</v>
      </c>
      <c r="L258" t="s">
        <v>1115</v>
      </c>
    </row>
    <row r="259" spans="1:12" x14ac:dyDescent="0.35">
      <c r="A259" s="27" t="s">
        <v>713</v>
      </c>
      <c r="B259" t="s">
        <v>466</v>
      </c>
      <c r="C259" t="s">
        <v>1080</v>
      </c>
      <c r="D259" t="s">
        <v>65</v>
      </c>
      <c r="E259" t="s">
        <v>1337</v>
      </c>
      <c r="F259" t="s">
        <v>926</v>
      </c>
      <c r="G259" t="s">
        <v>1086</v>
      </c>
      <c r="H259">
        <v>1994</v>
      </c>
      <c r="I259" t="s">
        <v>1115</v>
      </c>
      <c r="J259" t="s">
        <v>1115</v>
      </c>
      <c r="K259" t="s">
        <v>1115</v>
      </c>
      <c r="L259" t="s">
        <v>1115</v>
      </c>
    </row>
    <row r="260" spans="1:12" x14ac:dyDescent="0.35">
      <c r="A260" s="27" t="s">
        <v>713</v>
      </c>
      <c r="B260" t="s">
        <v>467</v>
      </c>
      <c r="C260" t="s">
        <v>1080</v>
      </c>
      <c r="D260" t="s">
        <v>94</v>
      </c>
      <c r="E260" t="s">
        <v>1338</v>
      </c>
      <c r="F260" t="s">
        <v>926</v>
      </c>
      <c r="G260" t="s">
        <v>1086</v>
      </c>
      <c r="H260">
        <v>1995</v>
      </c>
      <c r="I260" t="s">
        <v>1115</v>
      </c>
      <c r="J260" t="s">
        <v>1115</v>
      </c>
      <c r="K260" t="s">
        <v>1115</v>
      </c>
      <c r="L260" t="s">
        <v>1115</v>
      </c>
    </row>
    <row r="261" spans="1:12" x14ac:dyDescent="0.35">
      <c r="A261" s="27" t="s">
        <v>713</v>
      </c>
      <c r="B261" t="s">
        <v>468</v>
      </c>
      <c r="C261" t="s">
        <v>1080</v>
      </c>
      <c r="D261" t="s">
        <v>96</v>
      </c>
      <c r="E261" t="s">
        <v>1339</v>
      </c>
      <c r="F261" t="s">
        <v>923</v>
      </c>
      <c r="G261" t="s">
        <v>1086</v>
      </c>
      <c r="H261">
        <v>1997</v>
      </c>
      <c r="I261" t="s">
        <v>1115</v>
      </c>
      <c r="J261" t="s">
        <v>1115</v>
      </c>
      <c r="K261" t="s">
        <v>1115</v>
      </c>
      <c r="L261" t="s">
        <v>1115</v>
      </c>
    </row>
    <row r="262" spans="1:12" x14ac:dyDescent="0.35">
      <c r="A262" s="27" t="s">
        <v>713</v>
      </c>
      <c r="B262" t="s">
        <v>469</v>
      </c>
      <c r="C262" t="s">
        <v>1080</v>
      </c>
      <c r="D262" t="s">
        <v>202</v>
      </c>
      <c r="E262" t="s">
        <v>1340</v>
      </c>
      <c r="F262" t="s">
        <v>914</v>
      </c>
      <c r="G262" t="s">
        <v>1086</v>
      </c>
      <c r="H262">
        <v>1997</v>
      </c>
      <c r="I262" t="s">
        <v>1115</v>
      </c>
      <c r="J262" t="s">
        <v>1115</v>
      </c>
      <c r="K262" t="s">
        <v>1115</v>
      </c>
      <c r="L262" t="s">
        <v>1115</v>
      </c>
    </row>
    <row r="263" spans="1:12" x14ac:dyDescent="0.35">
      <c r="A263" s="27" t="s">
        <v>713</v>
      </c>
      <c r="B263" t="s">
        <v>470</v>
      </c>
      <c r="C263" t="s">
        <v>1080</v>
      </c>
      <c r="D263" t="s">
        <v>283</v>
      </c>
      <c r="E263" t="s">
        <v>1341</v>
      </c>
      <c r="F263" t="s">
        <v>914</v>
      </c>
      <c r="G263" t="s">
        <v>1086</v>
      </c>
      <c r="H263">
        <v>2000</v>
      </c>
      <c r="I263" t="s">
        <v>1115</v>
      </c>
      <c r="J263" t="s">
        <v>1115</v>
      </c>
      <c r="K263" t="s">
        <v>1115</v>
      </c>
      <c r="L263" t="s">
        <v>1115</v>
      </c>
    </row>
    <row r="264" spans="1:12" x14ac:dyDescent="0.35">
      <c r="A264" s="27" t="s">
        <v>713</v>
      </c>
      <c r="B264" t="s">
        <v>471</v>
      </c>
      <c r="C264" t="s">
        <v>1080</v>
      </c>
      <c r="D264" t="s">
        <v>235</v>
      </c>
      <c r="E264" t="s">
        <v>1342</v>
      </c>
      <c r="F264" t="s">
        <v>923</v>
      </c>
      <c r="G264" t="s">
        <v>1086</v>
      </c>
      <c r="H264">
        <v>2001</v>
      </c>
      <c r="I264" t="s">
        <v>1115</v>
      </c>
      <c r="J264" t="s">
        <v>1115</v>
      </c>
      <c r="K264" t="s">
        <v>1115</v>
      </c>
      <c r="L264" t="s">
        <v>1115</v>
      </c>
    </row>
    <row r="265" spans="1:12" x14ac:dyDescent="0.35">
      <c r="A265" s="27" t="s">
        <v>713</v>
      </c>
      <c r="B265" t="s">
        <v>472</v>
      </c>
      <c r="C265" t="s">
        <v>1080</v>
      </c>
      <c r="D265" t="s">
        <v>298</v>
      </c>
      <c r="E265" t="s">
        <v>1343</v>
      </c>
      <c r="F265" t="s">
        <v>926</v>
      </c>
      <c r="G265" t="s">
        <v>1086</v>
      </c>
      <c r="H265">
        <v>2001</v>
      </c>
      <c r="I265" t="s">
        <v>1115</v>
      </c>
      <c r="J265" t="s">
        <v>1115</v>
      </c>
      <c r="K265" t="s">
        <v>1115</v>
      </c>
      <c r="L265" t="s">
        <v>1115</v>
      </c>
    </row>
    <row r="266" spans="1:12" x14ac:dyDescent="0.35">
      <c r="A266" s="27" t="s">
        <v>713</v>
      </c>
      <c r="B266" t="s">
        <v>473</v>
      </c>
      <c r="C266" t="s">
        <v>1080</v>
      </c>
      <c r="D266" t="s">
        <v>257</v>
      </c>
      <c r="E266" t="s">
        <v>1280</v>
      </c>
      <c r="F266" t="s">
        <v>914</v>
      </c>
      <c r="G266" t="s">
        <v>1086</v>
      </c>
      <c r="H266">
        <v>2002</v>
      </c>
      <c r="I266" t="s">
        <v>1115</v>
      </c>
      <c r="J266" t="s">
        <v>1115</v>
      </c>
      <c r="K266" t="s">
        <v>1115</v>
      </c>
      <c r="L266" t="s">
        <v>1115</v>
      </c>
    </row>
    <row r="267" spans="1:12" x14ac:dyDescent="0.35">
      <c r="A267" s="27" t="s">
        <v>713</v>
      </c>
      <c r="B267" t="s">
        <v>474</v>
      </c>
      <c r="C267" t="s">
        <v>1080</v>
      </c>
      <c r="D267" t="s">
        <v>191</v>
      </c>
      <c r="E267" t="s">
        <v>1344</v>
      </c>
      <c r="F267" t="s">
        <v>923</v>
      </c>
      <c r="G267" t="s">
        <v>1372</v>
      </c>
      <c r="H267">
        <v>1987</v>
      </c>
      <c r="I267" t="s">
        <v>1115</v>
      </c>
      <c r="J267" t="s">
        <v>1115</v>
      </c>
      <c r="K267" t="s">
        <v>1115</v>
      </c>
      <c r="L267" t="s">
        <v>1115</v>
      </c>
    </row>
    <row r="268" spans="1:12" x14ac:dyDescent="0.35">
      <c r="A268" s="27" t="s">
        <v>713</v>
      </c>
      <c r="B268" t="s">
        <v>475</v>
      </c>
      <c r="C268" t="s">
        <v>1080</v>
      </c>
      <c r="D268" t="s">
        <v>126</v>
      </c>
      <c r="E268" t="s">
        <v>1345</v>
      </c>
      <c r="F268" t="s">
        <v>926</v>
      </c>
      <c r="G268" t="s">
        <v>1372</v>
      </c>
      <c r="H268">
        <v>1989</v>
      </c>
      <c r="I268" t="s">
        <v>1115</v>
      </c>
      <c r="J268" t="s">
        <v>1115</v>
      </c>
      <c r="K268" t="s">
        <v>1115</v>
      </c>
      <c r="L268" t="s">
        <v>1115</v>
      </c>
    </row>
    <row r="269" spans="1:12" x14ac:dyDescent="0.35">
      <c r="A269" s="27" t="s">
        <v>713</v>
      </c>
      <c r="B269" t="s">
        <v>476</v>
      </c>
      <c r="C269" t="s">
        <v>1080</v>
      </c>
      <c r="D269" t="s">
        <v>24</v>
      </c>
      <c r="E269" t="s">
        <v>1346</v>
      </c>
      <c r="F269" t="s">
        <v>914</v>
      </c>
      <c r="G269" t="s">
        <v>1372</v>
      </c>
      <c r="H269">
        <v>1995</v>
      </c>
      <c r="I269" t="s">
        <v>1115</v>
      </c>
      <c r="J269" t="s">
        <v>1115</v>
      </c>
      <c r="K269" t="s">
        <v>1115</v>
      </c>
      <c r="L269" t="s">
        <v>1115</v>
      </c>
    </row>
    <row r="270" spans="1:12" x14ac:dyDescent="0.35">
      <c r="A270" s="27" t="s">
        <v>713</v>
      </c>
      <c r="B270" t="s">
        <v>477</v>
      </c>
      <c r="C270" t="s">
        <v>1080</v>
      </c>
      <c r="D270" t="s">
        <v>308</v>
      </c>
      <c r="E270" t="s">
        <v>524</v>
      </c>
      <c r="F270" t="s">
        <v>487</v>
      </c>
      <c r="G270" t="s">
        <v>539</v>
      </c>
      <c r="H270">
        <v>1993</v>
      </c>
      <c r="I270" t="s">
        <v>1115</v>
      </c>
      <c r="J270" t="s">
        <v>1115</v>
      </c>
      <c r="K270" t="s">
        <v>1115</v>
      </c>
      <c r="L270" t="s">
        <v>1115</v>
      </c>
    </row>
    <row r="271" spans="1:12" x14ac:dyDescent="0.35">
      <c r="A271" s="27" t="s">
        <v>713</v>
      </c>
      <c r="B271" t="s">
        <v>478</v>
      </c>
      <c r="C271" t="s">
        <v>1080</v>
      </c>
      <c r="D271" t="s">
        <v>160</v>
      </c>
      <c r="E271" t="s">
        <v>1347</v>
      </c>
      <c r="F271" t="s">
        <v>914</v>
      </c>
      <c r="G271" t="s">
        <v>1373</v>
      </c>
      <c r="H271">
        <v>1982</v>
      </c>
      <c r="I271" t="s">
        <v>1115</v>
      </c>
      <c r="J271" t="s">
        <v>1115</v>
      </c>
      <c r="K271" t="s">
        <v>1115</v>
      </c>
      <c r="L271" t="s">
        <v>1115</v>
      </c>
    </row>
    <row r="272" spans="1:12" x14ac:dyDescent="0.35">
      <c r="A272" s="27" t="s">
        <v>713</v>
      </c>
      <c r="B272" t="s">
        <v>479</v>
      </c>
      <c r="C272" t="s">
        <v>1080</v>
      </c>
      <c r="D272" t="s">
        <v>218</v>
      </c>
      <c r="E272" t="s">
        <v>1348</v>
      </c>
      <c r="F272" t="s">
        <v>914</v>
      </c>
      <c r="G272" t="s">
        <v>1373</v>
      </c>
      <c r="H272">
        <v>1999</v>
      </c>
      <c r="I272" t="s">
        <v>1115</v>
      </c>
      <c r="J272" t="s">
        <v>1115</v>
      </c>
      <c r="K272" t="s">
        <v>1115</v>
      </c>
      <c r="L272" t="s">
        <v>1115</v>
      </c>
    </row>
    <row r="273" spans="1:12" x14ac:dyDescent="0.35">
      <c r="A273" s="27" t="s">
        <v>713</v>
      </c>
      <c r="B273" t="s">
        <v>480</v>
      </c>
      <c r="C273" t="s">
        <v>1080</v>
      </c>
      <c r="D273" t="s">
        <v>321</v>
      </c>
      <c r="E273" t="s">
        <v>525</v>
      </c>
      <c r="F273" t="s">
        <v>487</v>
      </c>
      <c r="G273" t="s">
        <v>540</v>
      </c>
      <c r="H273">
        <v>1989</v>
      </c>
      <c r="I273" t="s">
        <v>1115</v>
      </c>
      <c r="J273" t="s">
        <v>1115</v>
      </c>
      <c r="K273" t="s">
        <v>1115</v>
      </c>
      <c r="L273" t="s">
        <v>1115</v>
      </c>
    </row>
    <row r="274" spans="1:12" x14ac:dyDescent="0.35">
      <c r="A274" s="27" t="s">
        <v>713</v>
      </c>
      <c r="B274" t="s">
        <v>481</v>
      </c>
      <c r="C274" t="s">
        <v>1080</v>
      </c>
      <c r="D274" t="s">
        <v>245</v>
      </c>
      <c r="E274" t="s">
        <v>1349</v>
      </c>
      <c r="F274" t="s">
        <v>914</v>
      </c>
      <c r="G274" t="s">
        <v>541</v>
      </c>
      <c r="H274">
        <v>2001</v>
      </c>
      <c r="I274" t="s">
        <v>1115</v>
      </c>
      <c r="J274" t="s">
        <v>1115</v>
      </c>
      <c r="K274" t="s">
        <v>1115</v>
      </c>
      <c r="L274" t="s">
        <v>1115</v>
      </c>
    </row>
    <row r="275" spans="1:12" x14ac:dyDescent="0.35">
      <c r="A275" s="27" t="s">
        <v>713</v>
      </c>
      <c r="B275" t="s">
        <v>482</v>
      </c>
      <c r="C275" t="s">
        <v>1080</v>
      </c>
      <c r="D275" t="s">
        <v>329</v>
      </c>
      <c r="E275" t="s">
        <v>526</v>
      </c>
      <c r="F275" t="s">
        <v>487</v>
      </c>
      <c r="G275" t="s">
        <v>541</v>
      </c>
      <c r="H275">
        <v>2002</v>
      </c>
      <c r="I275" t="s">
        <v>1115</v>
      </c>
      <c r="J275" t="s">
        <v>1115</v>
      </c>
      <c r="K275" t="s">
        <v>1115</v>
      </c>
      <c r="L275" t="s">
        <v>1115</v>
      </c>
    </row>
    <row r="276" spans="1:12" x14ac:dyDescent="0.35">
      <c r="A276" s="27" t="s">
        <v>713</v>
      </c>
      <c r="B276" t="s">
        <v>483</v>
      </c>
      <c r="C276" t="s">
        <v>1080</v>
      </c>
      <c r="D276" t="s">
        <v>58</v>
      </c>
      <c r="E276" t="s">
        <v>1350</v>
      </c>
      <c r="F276" t="s">
        <v>914</v>
      </c>
      <c r="G276" t="s">
        <v>1374</v>
      </c>
      <c r="H276">
        <v>1987</v>
      </c>
      <c r="I276" t="s">
        <v>1115</v>
      </c>
      <c r="J276" t="s">
        <v>1115</v>
      </c>
      <c r="K276" t="s">
        <v>1115</v>
      </c>
      <c r="L276" t="s">
        <v>1115</v>
      </c>
    </row>
    <row r="277" spans="1:12" x14ac:dyDescent="0.35">
      <c r="A277" s="27" t="s">
        <v>713</v>
      </c>
      <c r="B277" t="s">
        <v>484</v>
      </c>
      <c r="C277" t="s">
        <v>1080</v>
      </c>
      <c r="D277" t="s">
        <v>168</v>
      </c>
      <c r="E277" t="s">
        <v>1351</v>
      </c>
      <c r="F277" t="s">
        <v>914</v>
      </c>
      <c r="G277" t="s">
        <v>1374</v>
      </c>
      <c r="H277">
        <v>1988</v>
      </c>
      <c r="I277" t="s">
        <v>1115</v>
      </c>
      <c r="J277" t="s">
        <v>1115</v>
      </c>
      <c r="K277" t="s">
        <v>1115</v>
      </c>
      <c r="L277" t="s">
        <v>1115</v>
      </c>
    </row>
    <row r="278" spans="1:12" x14ac:dyDescent="0.35">
      <c r="A278" s="27" t="s">
        <v>713</v>
      </c>
      <c r="B278" t="s">
        <v>485</v>
      </c>
      <c r="C278" t="s">
        <v>1080</v>
      </c>
      <c r="D278" t="s">
        <v>114</v>
      </c>
      <c r="E278" t="s">
        <v>1352</v>
      </c>
      <c r="F278" t="s">
        <v>926</v>
      </c>
      <c r="G278" t="s">
        <v>1374</v>
      </c>
      <c r="H278">
        <v>1998</v>
      </c>
      <c r="I278" t="s">
        <v>1115</v>
      </c>
      <c r="J278" t="s">
        <v>1115</v>
      </c>
      <c r="K278" t="s">
        <v>1115</v>
      </c>
      <c r="L278" t="s">
        <v>1115</v>
      </c>
    </row>
    <row r="279" spans="1:12" x14ac:dyDescent="0.35">
      <c r="A279" s="27" t="s">
        <v>713</v>
      </c>
      <c r="B279" t="s">
        <v>486</v>
      </c>
      <c r="C279" t="s">
        <v>1080</v>
      </c>
      <c r="D279" t="s">
        <v>67</v>
      </c>
      <c r="E279" t="s">
        <v>1353</v>
      </c>
      <c r="F279" t="s">
        <v>926</v>
      </c>
      <c r="G279" t="s">
        <v>1374</v>
      </c>
      <c r="H279">
        <v>2002</v>
      </c>
      <c r="I279" t="s">
        <v>1115</v>
      </c>
      <c r="J279" t="s">
        <v>1115</v>
      </c>
      <c r="K279" t="s">
        <v>1115</v>
      </c>
      <c r="L279" t="s">
        <v>1115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2894-DF2F-4852-8E45-831C661468EA}">
  <dimension ref="A1:L279"/>
  <sheetViews>
    <sheetView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25.453125" customWidth="1"/>
    <col min="2" max="2" width="11.54296875" customWidth="1"/>
    <col min="3" max="3" width="7.90625" customWidth="1"/>
    <col min="4" max="4" width="18.26953125" customWidth="1"/>
    <col min="5" max="5" width="27.7265625" customWidth="1"/>
    <col min="6" max="6" width="10.453125" customWidth="1"/>
    <col min="7" max="7" width="15.90625" customWidth="1"/>
    <col min="12" max="12" width="24" customWidth="1"/>
  </cols>
  <sheetData>
    <row r="1" spans="1:12" x14ac:dyDescent="0.35">
      <c r="A1" s="1" t="s">
        <v>1079</v>
      </c>
      <c r="B1" s="1" t="s">
        <v>1077</v>
      </c>
      <c r="C1" s="1" t="s">
        <v>1076</v>
      </c>
      <c r="D1" s="1" t="s">
        <v>504</v>
      </c>
      <c r="E1" s="1" t="s">
        <v>503</v>
      </c>
      <c r="F1" s="1" t="s">
        <v>505</v>
      </c>
      <c r="G1" s="1" t="s">
        <v>1075</v>
      </c>
      <c r="H1" s="1" t="s">
        <v>1078</v>
      </c>
      <c r="I1" s="21" t="s">
        <v>909</v>
      </c>
      <c r="J1" s="21" t="s">
        <v>910</v>
      </c>
      <c r="K1" s="21" t="s">
        <v>911</v>
      </c>
      <c r="L1" s="21" t="s">
        <v>1112</v>
      </c>
    </row>
    <row r="2" spans="1:12" x14ac:dyDescent="0.35">
      <c r="A2" s="27" t="s">
        <v>713</v>
      </c>
      <c r="B2" t="s">
        <v>367</v>
      </c>
      <c r="C2" t="s">
        <v>1080</v>
      </c>
      <c r="D2" t="s">
        <v>186</v>
      </c>
      <c r="E2" t="s">
        <v>1252</v>
      </c>
      <c r="F2" t="s">
        <v>923</v>
      </c>
      <c r="G2" t="s">
        <v>1360</v>
      </c>
      <c r="H2">
        <v>1993</v>
      </c>
      <c r="I2" t="s">
        <v>1115</v>
      </c>
      <c r="J2" t="s">
        <v>1115</v>
      </c>
      <c r="K2" t="s">
        <v>1115</v>
      </c>
      <c r="L2" t="s">
        <v>1115</v>
      </c>
    </row>
    <row r="3" spans="1:12" x14ac:dyDescent="0.35">
      <c r="A3" s="27" t="s">
        <v>713</v>
      </c>
      <c r="B3" t="s">
        <v>404</v>
      </c>
      <c r="C3" t="s">
        <v>1080</v>
      </c>
      <c r="D3" t="s">
        <v>63</v>
      </c>
      <c r="E3" t="s">
        <v>1283</v>
      </c>
      <c r="F3" t="s">
        <v>923</v>
      </c>
      <c r="G3" t="s">
        <v>1106</v>
      </c>
      <c r="H3">
        <v>1989</v>
      </c>
      <c r="I3" t="s">
        <v>1115</v>
      </c>
      <c r="J3" t="s">
        <v>1115</v>
      </c>
      <c r="K3" t="s">
        <v>1115</v>
      </c>
      <c r="L3" t="s">
        <v>1115</v>
      </c>
    </row>
    <row r="4" spans="1:12" x14ac:dyDescent="0.35">
      <c r="A4" s="27" t="s">
        <v>713</v>
      </c>
      <c r="B4" t="s">
        <v>352</v>
      </c>
      <c r="C4" t="s">
        <v>1080</v>
      </c>
      <c r="D4" t="s">
        <v>142</v>
      </c>
      <c r="E4" t="s">
        <v>1241</v>
      </c>
      <c r="F4" t="s">
        <v>923</v>
      </c>
      <c r="G4" t="s">
        <v>528</v>
      </c>
      <c r="H4">
        <v>1999</v>
      </c>
      <c r="I4" t="s">
        <v>1115</v>
      </c>
      <c r="J4" t="s">
        <v>1115</v>
      </c>
      <c r="K4" t="s">
        <v>1115</v>
      </c>
      <c r="L4" t="s">
        <v>1115</v>
      </c>
    </row>
    <row r="5" spans="1:12" x14ac:dyDescent="0.35">
      <c r="A5" s="19" t="s">
        <v>878</v>
      </c>
      <c r="B5" t="s">
        <v>549</v>
      </c>
      <c r="C5" t="s">
        <v>1080</v>
      </c>
      <c r="D5" t="s">
        <v>44</v>
      </c>
      <c r="E5" t="s">
        <v>514</v>
      </c>
      <c r="F5" t="s">
        <v>487</v>
      </c>
      <c r="G5" t="s">
        <v>531</v>
      </c>
      <c r="H5" t="s">
        <v>1115</v>
      </c>
      <c r="I5" t="s">
        <v>1115</v>
      </c>
      <c r="J5" t="s">
        <v>1115</v>
      </c>
      <c r="K5" t="s">
        <v>1115</v>
      </c>
      <c r="L5" t="s">
        <v>1115</v>
      </c>
    </row>
    <row r="6" spans="1:12" x14ac:dyDescent="0.35">
      <c r="A6" s="27" t="s">
        <v>713</v>
      </c>
      <c r="B6" t="s">
        <v>373</v>
      </c>
      <c r="C6" t="s">
        <v>1080</v>
      </c>
      <c r="D6" t="s">
        <v>44</v>
      </c>
      <c r="E6" t="s">
        <v>514</v>
      </c>
      <c r="F6" t="s">
        <v>487</v>
      </c>
      <c r="G6" t="s">
        <v>531</v>
      </c>
      <c r="H6">
        <v>1992</v>
      </c>
      <c r="I6" t="s">
        <v>1115</v>
      </c>
      <c r="J6" t="s">
        <v>1115</v>
      </c>
      <c r="K6" t="s">
        <v>1115</v>
      </c>
      <c r="L6" t="s">
        <v>1115</v>
      </c>
    </row>
    <row r="7" spans="1:12" x14ac:dyDescent="0.35">
      <c r="A7" s="27" t="s">
        <v>713</v>
      </c>
      <c r="B7" t="s">
        <v>364</v>
      </c>
      <c r="C7" t="s">
        <v>1080</v>
      </c>
      <c r="D7" t="s">
        <v>64</v>
      </c>
      <c r="E7" t="s">
        <v>1249</v>
      </c>
      <c r="F7" t="s">
        <v>926</v>
      </c>
      <c r="G7" t="s">
        <v>529</v>
      </c>
      <c r="H7">
        <v>2002</v>
      </c>
      <c r="I7" t="s">
        <v>1115</v>
      </c>
      <c r="J7" t="s">
        <v>1115</v>
      </c>
      <c r="K7" t="s">
        <v>1115</v>
      </c>
      <c r="L7" t="s">
        <v>1115</v>
      </c>
    </row>
    <row r="8" spans="1:12" x14ac:dyDescent="0.35">
      <c r="A8" s="27" t="s">
        <v>713</v>
      </c>
      <c r="B8" t="s">
        <v>447</v>
      </c>
      <c r="C8" t="s">
        <v>1080</v>
      </c>
      <c r="D8" t="s">
        <v>263</v>
      </c>
      <c r="E8" t="s">
        <v>1321</v>
      </c>
      <c r="F8" t="s">
        <v>923</v>
      </c>
      <c r="G8" t="s">
        <v>536</v>
      </c>
      <c r="H8">
        <v>2003</v>
      </c>
      <c r="I8" t="s">
        <v>1115</v>
      </c>
      <c r="J8" t="s">
        <v>1115</v>
      </c>
      <c r="K8" t="s">
        <v>1115</v>
      </c>
      <c r="L8" t="s">
        <v>1115</v>
      </c>
    </row>
    <row r="9" spans="1:12" x14ac:dyDescent="0.35">
      <c r="A9" s="20" t="s">
        <v>1085</v>
      </c>
      <c r="B9" s="15">
        <v>8</v>
      </c>
      <c r="C9" t="s">
        <v>1080</v>
      </c>
      <c r="D9" t="s">
        <v>58</v>
      </c>
      <c r="E9" t="s">
        <v>1094</v>
      </c>
      <c r="F9" t="s">
        <v>42</v>
      </c>
      <c r="G9" t="s">
        <v>1106</v>
      </c>
      <c r="H9">
        <v>1954</v>
      </c>
      <c r="I9" t="s">
        <v>1115</v>
      </c>
      <c r="J9" t="s">
        <v>1115</v>
      </c>
      <c r="K9" t="s">
        <v>1115</v>
      </c>
      <c r="L9" t="s">
        <v>1115</v>
      </c>
    </row>
    <row r="10" spans="1:12" x14ac:dyDescent="0.35">
      <c r="A10" s="27" t="s">
        <v>713</v>
      </c>
      <c r="B10" t="s">
        <v>412</v>
      </c>
      <c r="C10" t="s">
        <v>1080</v>
      </c>
      <c r="D10" t="s">
        <v>243</v>
      </c>
      <c r="E10" t="s">
        <v>1290</v>
      </c>
      <c r="F10" t="s">
        <v>923</v>
      </c>
      <c r="G10" t="s">
        <v>1106</v>
      </c>
      <c r="H10">
        <v>2004</v>
      </c>
      <c r="I10" t="s">
        <v>1115</v>
      </c>
      <c r="J10" t="s">
        <v>1115</v>
      </c>
      <c r="K10" t="s">
        <v>1115</v>
      </c>
      <c r="L10" t="s">
        <v>1115</v>
      </c>
    </row>
    <row r="11" spans="1:12" x14ac:dyDescent="0.35">
      <c r="A11" s="27" t="s">
        <v>713</v>
      </c>
      <c r="B11" s="22" t="s">
        <v>455</v>
      </c>
      <c r="C11" s="22" t="s">
        <v>1080</v>
      </c>
      <c r="D11" s="22" t="s">
        <v>165</v>
      </c>
      <c r="E11" s="22" t="s">
        <v>1328</v>
      </c>
      <c r="F11" t="s">
        <v>914</v>
      </c>
      <c r="G11" s="22" t="s">
        <v>1375</v>
      </c>
      <c r="H11" s="22">
        <v>1990</v>
      </c>
      <c r="I11" t="s">
        <v>1115</v>
      </c>
      <c r="J11" t="s">
        <v>1115</v>
      </c>
      <c r="K11" t="s">
        <v>1115</v>
      </c>
      <c r="L11" t="s">
        <v>1115</v>
      </c>
    </row>
    <row r="12" spans="1:12" x14ac:dyDescent="0.35">
      <c r="A12" s="22" t="s">
        <v>1119</v>
      </c>
      <c r="B12" t="s">
        <v>1115</v>
      </c>
      <c r="C12" t="s">
        <v>1080</v>
      </c>
      <c r="D12" s="2" t="str">
        <f>PROPER(Tab4_BlessuresJoueurs!A26)</f>
        <v>Folarin</v>
      </c>
      <c r="E12" s="2" t="str">
        <f>UPPER(Tab4_BlessuresJoueurs!B26)</f>
        <v>BALOGUN</v>
      </c>
      <c r="F12" t="s">
        <v>1115</v>
      </c>
      <c r="G12" t="s">
        <v>1115</v>
      </c>
      <c r="H12" t="s">
        <v>1115</v>
      </c>
      <c r="I12" t="s">
        <v>1115</v>
      </c>
      <c r="J12" t="s">
        <v>1115</v>
      </c>
      <c r="K12" t="s">
        <v>1115</v>
      </c>
      <c r="L12" s="3" t="s">
        <v>625</v>
      </c>
    </row>
    <row r="13" spans="1:12" x14ac:dyDescent="0.35">
      <c r="A13" s="27" t="s">
        <v>713</v>
      </c>
      <c r="B13" t="s">
        <v>416</v>
      </c>
      <c r="C13" t="s">
        <v>1080</v>
      </c>
      <c r="D13" t="s">
        <v>240</v>
      </c>
      <c r="E13" t="s">
        <v>1294</v>
      </c>
      <c r="F13" t="s">
        <v>914</v>
      </c>
      <c r="G13" t="s">
        <v>1367</v>
      </c>
      <c r="H13">
        <v>2002</v>
      </c>
      <c r="I13" t="s">
        <v>1115</v>
      </c>
      <c r="J13" t="s">
        <v>1115</v>
      </c>
      <c r="K13" t="s">
        <v>1115</v>
      </c>
      <c r="L13" t="s">
        <v>1115</v>
      </c>
    </row>
    <row r="14" spans="1:12" x14ac:dyDescent="0.35">
      <c r="A14" s="20" t="s">
        <v>1085</v>
      </c>
      <c r="B14" s="15">
        <v>3</v>
      </c>
      <c r="C14" t="s">
        <v>1080</v>
      </c>
      <c r="D14" t="s">
        <v>584</v>
      </c>
      <c r="E14" t="s">
        <v>1089</v>
      </c>
      <c r="F14" t="s">
        <v>42</v>
      </c>
      <c r="G14" t="s">
        <v>528</v>
      </c>
      <c r="H14">
        <v>1937</v>
      </c>
      <c r="I14" t="s">
        <v>1115</v>
      </c>
      <c r="J14" t="s">
        <v>1115</v>
      </c>
      <c r="K14" t="s">
        <v>1115</v>
      </c>
      <c r="L14" t="s">
        <v>1115</v>
      </c>
    </row>
    <row r="15" spans="1:12" x14ac:dyDescent="0.35">
      <c r="A15" s="27" t="s">
        <v>713</v>
      </c>
      <c r="B15" t="s">
        <v>444</v>
      </c>
      <c r="C15" t="s">
        <v>1080</v>
      </c>
      <c r="D15" t="s">
        <v>221</v>
      </c>
      <c r="E15" t="s">
        <v>1319</v>
      </c>
      <c r="F15" t="s">
        <v>926</v>
      </c>
      <c r="G15" t="s">
        <v>536</v>
      </c>
      <c r="H15">
        <v>1997</v>
      </c>
      <c r="I15" t="s">
        <v>1115</v>
      </c>
      <c r="J15" t="s">
        <v>1115</v>
      </c>
      <c r="K15" t="s">
        <v>1115</v>
      </c>
      <c r="L15" t="s">
        <v>1115</v>
      </c>
    </row>
    <row r="16" spans="1:12" x14ac:dyDescent="0.35">
      <c r="A16" s="20" t="s">
        <v>1085</v>
      </c>
      <c r="B16" s="15">
        <v>6</v>
      </c>
      <c r="C16" t="s">
        <v>1080</v>
      </c>
      <c r="D16" t="s">
        <v>573</v>
      </c>
      <c r="E16" t="s">
        <v>1092</v>
      </c>
      <c r="F16" t="s">
        <v>35</v>
      </c>
      <c r="G16" t="s">
        <v>527</v>
      </c>
      <c r="H16">
        <v>1945</v>
      </c>
      <c r="I16" t="s">
        <v>1115</v>
      </c>
      <c r="J16" t="s">
        <v>1115</v>
      </c>
      <c r="K16" t="s">
        <v>1115</v>
      </c>
      <c r="L16" t="s">
        <v>1115</v>
      </c>
    </row>
    <row r="17" spans="1:12" x14ac:dyDescent="0.35">
      <c r="A17" s="27" t="s">
        <v>713</v>
      </c>
      <c r="B17" t="s">
        <v>356</v>
      </c>
      <c r="C17" t="s">
        <v>1080</v>
      </c>
      <c r="D17" t="s">
        <v>112</v>
      </c>
      <c r="E17" t="s">
        <v>1244</v>
      </c>
      <c r="F17" t="s">
        <v>926</v>
      </c>
      <c r="G17" t="s">
        <v>528</v>
      </c>
      <c r="H17">
        <v>2003</v>
      </c>
      <c r="I17" t="s">
        <v>1115</v>
      </c>
      <c r="J17" t="s">
        <v>1115</v>
      </c>
      <c r="K17" t="s">
        <v>1115</v>
      </c>
      <c r="L17" t="s">
        <v>1115</v>
      </c>
    </row>
    <row r="18" spans="1:12" x14ac:dyDescent="0.35">
      <c r="A18" s="22" t="s">
        <v>1119</v>
      </c>
      <c r="B18" t="s">
        <v>1115</v>
      </c>
      <c r="C18" t="s">
        <v>1080</v>
      </c>
      <c r="D18" s="2" t="str">
        <f>PROPER(Tab4_BlessuresJoueurs!A20)</f>
        <v>Nabil</v>
      </c>
      <c r="E18" s="2" t="str">
        <f>UPPER(Tab4_BlessuresJoueurs!B20)</f>
        <v>BENTALEB</v>
      </c>
      <c r="F18" t="s">
        <v>1115</v>
      </c>
      <c r="G18" t="s">
        <v>1115</v>
      </c>
      <c r="H18" t="s">
        <v>1115</v>
      </c>
      <c r="I18" t="s">
        <v>1115</v>
      </c>
      <c r="J18" t="s">
        <v>1115</v>
      </c>
      <c r="K18" t="s">
        <v>1115</v>
      </c>
      <c r="L18" s="3" t="s">
        <v>638</v>
      </c>
    </row>
    <row r="19" spans="1:12" x14ac:dyDescent="0.35">
      <c r="A19" s="27" t="s">
        <v>713</v>
      </c>
      <c r="B19" t="s">
        <v>418</v>
      </c>
      <c r="C19" t="s">
        <v>1080</v>
      </c>
      <c r="D19" t="s">
        <v>22</v>
      </c>
      <c r="E19" t="s">
        <v>1295</v>
      </c>
      <c r="F19" t="s">
        <v>914</v>
      </c>
      <c r="G19" t="s">
        <v>535</v>
      </c>
      <c r="H19">
        <v>1988</v>
      </c>
      <c r="I19" t="s">
        <v>1115</v>
      </c>
      <c r="J19" t="s">
        <v>1115</v>
      </c>
      <c r="K19" t="s">
        <v>1115</v>
      </c>
      <c r="L19" t="s">
        <v>1115</v>
      </c>
    </row>
    <row r="20" spans="1:12" x14ac:dyDescent="0.35">
      <c r="A20" s="27" t="s">
        <v>713</v>
      </c>
      <c r="B20" t="s">
        <v>466</v>
      </c>
      <c r="C20" t="s">
        <v>1080</v>
      </c>
      <c r="D20" t="s">
        <v>65</v>
      </c>
      <c r="E20" t="s">
        <v>1337</v>
      </c>
      <c r="F20" t="s">
        <v>926</v>
      </c>
      <c r="G20" t="s">
        <v>1086</v>
      </c>
      <c r="H20">
        <v>1994</v>
      </c>
      <c r="I20" t="s">
        <v>1115</v>
      </c>
      <c r="J20" t="s">
        <v>1115</v>
      </c>
      <c r="K20" t="s">
        <v>1115</v>
      </c>
      <c r="L20" t="s">
        <v>1115</v>
      </c>
    </row>
    <row r="21" spans="1:12" x14ac:dyDescent="0.35">
      <c r="A21" s="27" t="s">
        <v>713</v>
      </c>
      <c r="B21" t="s">
        <v>439</v>
      </c>
      <c r="C21" t="s">
        <v>1080</v>
      </c>
      <c r="D21" t="s">
        <v>189</v>
      </c>
      <c r="E21" t="s">
        <v>1314</v>
      </c>
      <c r="F21" t="s">
        <v>923</v>
      </c>
      <c r="G21" t="s">
        <v>536</v>
      </c>
      <c r="H21">
        <v>1987</v>
      </c>
      <c r="I21" t="s">
        <v>1115</v>
      </c>
      <c r="J21" t="s">
        <v>1115</v>
      </c>
      <c r="K21" t="s">
        <v>1115</v>
      </c>
      <c r="L21" t="s">
        <v>1115</v>
      </c>
    </row>
    <row r="22" spans="1:12" x14ac:dyDescent="0.35">
      <c r="A22" s="22" t="s">
        <v>1119</v>
      </c>
      <c r="B22" t="s">
        <v>1115</v>
      </c>
      <c r="C22" t="s">
        <v>1080</v>
      </c>
      <c r="D22" s="2" t="str">
        <f>PROPER(Tab4_BlessuresJoueurs!A9)</f>
        <v>Sven</v>
      </c>
      <c r="E22" s="2" t="str">
        <f>UPPER(Tab4_BlessuresJoueurs!B9)</f>
        <v>BOTMAN</v>
      </c>
      <c r="F22" t="s">
        <v>1115</v>
      </c>
      <c r="G22" t="s">
        <v>1115</v>
      </c>
      <c r="H22" t="s">
        <v>1115</v>
      </c>
      <c r="I22" t="s">
        <v>1115</v>
      </c>
      <c r="J22" t="s">
        <v>1115</v>
      </c>
      <c r="K22" t="s">
        <v>1115</v>
      </c>
      <c r="L22" s="3" t="s">
        <v>596</v>
      </c>
    </row>
    <row r="23" spans="1:12" x14ac:dyDescent="0.35">
      <c r="A23" s="22" t="s">
        <v>1119</v>
      </c>
      <c r="B23" t="s">
        <v>1115</v>
      </c>
      <c r="C23" t="s">
        <v>1080</v>
      </c>
      <c r="D23" s="2" t="str">
        <f>PROPER(Tab4_BlessuresJoueurs!A44)</f>
        <v>Sven</v>
      </c>
      <c r="E23" s="2" t="str">
        <f>UPPER(Tab4_BlessuresJoueurs!B44)</f>
        <v>BOTMAN</v>
      </c>
      <c r="F23" t="s">
        <v>1115</v>
      </c>
      <c r="G23" t="s">
        <v>1115</v>
      </c>
      <c r="H23" t="s">
        <v>1115</v>
      </c>
      <c r="I23" t="s">
        <v>1115</v>
      </c>
      <c r="J23" t="s">
        <v>1115</v>
      </c>
      <c r="K23" t="s">
        <v>1115</v>
      </c>
      <c r="L23" s="3" t="s">
        <v>671</v>
      </c>
    </row>
    <row r="24" spans="1:12" x14ac:dyDescent="0.35">
      <c r="A24" s="22" t="s">
        <v>1119</v>
      </c>
      <c r="B24" t="s">
        <v>1115</v>
      </c>
      <c r="C24" t="s">
        <v>1080</v>
      </c>
      <c r="D24" s="2" t="str">
        <f>PROPER(Tab4_BlessuresJoueurs!A7)</f>
        <v>Gleison</v>
      </c>
      <c r="E24" s="2" t="str">
        <f>UPPER(Tab4_BlessuresJoueurs!B7)</f>
        <v>BREMER</v>
      </c>
      <c r="F24" t="s">
        <v>1115</v>
      </c>
      <c r="G24" t="s">
        <v>1115</v>
      </c>
      <c r="H24" t="s">
        <v>1115</v>
      </c>
      <c r="I24" t="s">
        <v>1115</v>
      </c>
      <c r="J24" t="s">
        <v>1115</v>
      </c>
      <c r="K24" t="s">
        <v>1115</v>
      </c>
      <c r="L24" s="3" t="s">
        <v>596</v>
      </c>
    </row>
    <row r="25" spans="1:12" x14ac:dyDescent="0.35">
      <c r="A25" s="22" t="s">
        <v>1119</v>
      </c>
      <c r="B25" t="s">
        <v>1115</v>
      </c>
      <c r="C25" t="s">
        <v>1080</v>
      </c>
      <c r="D25" s="2" t="str">
        <f>PROPER(Tab4_BlessuresJoueurs!A42)</f>
        <v>Gleison</v>
      </c>
      <c r="E25" s="2" t="str">
        <f>UPPER(Tab4_BlessuresJoueurs!B42)</f>
        <v>BREMER</v>
      </c>
      <c r="F25" t="s">
        <v>1115</v>
      </c>
      <c r="G25" t="s">
        <v>1115</v>
      </c>
      <c r="H25" t="s">
        <v>1115</v>
      </c>
      <c r="I25" t="s">
        <v>1115</v>
      </c>
      <c r="J25" t="s">
        <v>1115</v>
      </c>
      <c r="K25" t="s">
        <v>1115</v>
      </c>
      <c r="L25" s="3" t="s">
        <v>671</v>
      </c>
    </row>
    <row r="26" spans="1:12" x14ac:dyDescent="0.35">
      <c r="A26" s="25" t="s">
        <v>1122</v>
      </c>
      <c r="B26" t="s">
        <v>1115</v>
      </c>
      <c r="C26" t="s">
        <v>1221</v>
      </c>
      <c r="D26" t="s">
        <v>1136</v>
      </c>
      <c r="E26" t="s">
        <v>1194</v>
      </c>
      <c r="F26" t="s">
        <v>923</v>
      </c>
      <c r="G26" t="s">
        <v>528</v>
      </c>
      <c r="H26">
        <v>1991</v>
      </c>
      <c r="I26" t="s">
        <v>924</v>
      </c>
      <c r="J26">
        <v>130</v>
      </c>
      <c r="K26">
        <v>12</v>
      </c>
      <c r="L26" s="3" t="s">
        <v>1115</v>
      </c>
    </row>
    <row r="27" spans="1:12" x14ac:dyDescent="0.35">
      <c r="A27" s="22" t="s">
        <v>1119</v>
      </c>
      <c r="B27" t="s">
        <v>1115</v>
      </c>
      <c r="C27" t="s">
        <v>1080</v>
      </c>
      <c r="D27" s="2" t="str">
        <f>PROPER(Tab4_BlessuresJoueurs!A31)</f>
        <v>Nathan</v>
      </c>
      <c r="E27" s="2" t="str">
        <f>UPPER(Tab4_BlessuresJoueurs!B31)</f>
        <v>BUAYI-KIALA</v>
      </c>
      <c r="F27" t="s">
        <v>1115</v>
      </c>
      <c r="G27" t="s">
        <v>1115</v>
      </c>
      <c r="H27" t="s">
        <v>1115</v>
      </c>
      <c r="I27" t="s">
        <v>1115</v>
      </c>
      <c r="J27" t="s">
        <v>1115</v>
      </c>
      <c r="K27" t="s">
        <v>1115</v>
      </c>
      <c r="L27" s="3" t="s">
        <v>655</v>
      </c>
    </row>
    <row r="28" spans="1:12" x14ac:dyDescent="0.35">
      <c r="A28" s="25" t="s">
        <v>1122</v>
      </c>
      <c r="B28" t="s">
        <v>1115</v>
      </c>
      <c r="C28" t="s">
        <v>1221</v>
      </c>
      <c r="D28" t="s">
        <v>1171</v>
      </c>
      <c r="E28" t="s">
        <v>1211</v>
      </c>
      <c r="F28" t="s">
        <v>923</v>
      </c>
      <c r="G28" t="s">
        <v>1125</v>
      </c>
      <c r="H28">
        <v>1995</v>
      </c>
      <c r="I28" t="s">
        <v>921</v>
      </c>
      <c r="J28">
        <v>135</v>
      </c>
      <c r="K28">
        <v>10</v>
      </c>
      <c r="L28" s="3" t="s">
        <v>1115</v>
      </c>
    </row>
    <row r="29" spans="1:12" x14ac:dyDescent="0.35">
      <c r="A29" s="20" t="s">
        <v>1085</v>
      </c>
      <c r="B29" s="15">
        <v>16</v>
      </c>
      <c r="C29" t="s">
        <v>1080</v>
      </c>
      <c r="D29" t="s">
        <v>306</v>
      </c>
      <c r="E29" t="s">
        <v>1102</v>
      </c>
      <c r="F29" t="s">
        <v>42</v>
      </c>
      <c r="G29" t="s">
        <v>536</v>
      </c>
      <c r="H29">
        <v>1978</v>
      </c>
      <c r="I29" t="s">
        <v>1115</v>
      </c>
      <c r="J29" t="s">
        <v>1115</v>
      </c>
      <c r="K29" t="s">
        <v>1115</v>
      </c>
      <c r="L29" t="s">
        <v>1115</v>
      </c>
    </row>
    <row r="30" spans="1:12" x14ac:dyDescent="0.35">
      <c r="A30" s="27" t="s">
        <v>713</v>
      </c>
      <c r="B30" t="s">
        <v>403</v>
      </c>
      <c r="C30" t="s">
        <v>1080</v>
      </c>
      <c r="D30" t="s">
        <v>46</v>
      </c>
      <c r="E30" t="s">
        <v>1282</v>
      </c>
      <c r="F30" t="s">
        <v>926</v>
      </c>
      <c r="G30" t="s">
        <v>1106</v>
      </c>
      <c r="H30">
        <v>1988</v>
      </c>
      <c r="I30" t="s">
        <v>1115</v>
      </c>
      <c r="J30" t="s">
        <v>1115</v>
      </c>
      <c r="K30" t="s">
        <v>1115</v>
      </c>
      <c r="L30" t="s">
        <v>1115</v>
      </c>
    </row>
    <row r="31" spans="1:12" x14ac:dyDescent="0.35">
      <c r="A31" s="27" t="s">
        <v>713</v>
      </c>
      <c r="B31" t="s">
        <v>390</v>
      </c>
      <c r="C31" t="s">
        <v>1080</v>
      </c>
      <c r="D31" t="s">
        <v>266</v>
      </c>
      <c r="E31" t="s">
        <v>1270</v>
      </c>
      <c r="F31" t="s">
        <v>926</v>
      </c>
      <c r="G31" t="s">
        <v>1363</v>
      </c>
      <c r="H31">
        <v>2002</v>
      </c>
      <c r="I31" t="s">
        <v>1115</v>
      </c>
      <c r="J31" t="s">
        <v>1115</v>
      </c>
      <c r="K31" t="s">
        <v>1115</v>
      </c>
      <c r="L31" t="s">
        <v>1115</v>
      </c>
    </row>
    <row r="32" spans="1:12" x14ac:dyDescent="0.35">
      <c r="A32" s="27" t="s">
        <v>713</v>
      </c>
      <c r="B32" t="s">
        <v>432</v>
      </c>
      <c r="C32" t="s">
        <v>1080</v>
      </c>
      <c r="D32" t="s">
        <v>210</v>
      </c>
      <c r="E32" t="s">
        <v>1307</v>
      </c>
      <c r="F32" t="s">
        <v>926</v>
      </c>
      <c r="G32" t="s">
        <v>535</v>
      </c>
      <c r="H32">
        <v>2003</v>
      </c>
      <c r="I32" t="s">
        <v>1115</v>
      </c>
      <c r="J32" t="s">
        <v>1115</v>
      </c>
      <c r="K32" t="s">
        <v>1115</v>
      </c>
      <c r="L32" t="s">
        <v>1115</v>
      </c>
    </row>
    <row r="33" spans="1:12" x14ac:dyDescent="0.35">
      <c r="A33" s="22" t="s">
        <v>1119</v>
      </c>
      <c r="B33" t="s">
        <v>1115</v>
      </c>
      <c r="C33" t="s">
        <v>1080</v>
      </c>
      <c r="D33" s="2" t="str">
        <f>PROPER(Tab4_BlessuresJoueurs!A30)</f>
        <v>Valentín</v>
      </c>
      <c r="E33" s="2" t="str">
        <f>UPPER(Tab4_BlessuresJoueurs!B30)</f>
        <v>CARBONI</v>
      </c>
      <c r="F33" t="s">
        <v>1115</v>
      </c>
      <c r="G33" t="s">
        <v>1115</v>
      </c>
      <c r="H33" t="s">
        <v>1115</v>
      </c>
      <c r="I33" t="s">
        <v>1115</v>
      </c>
      <c r="J33" t="s">
        <v>1115</v>
      </c>
      <c r="K33" t="s">
        <v>1115</v>
      </c>
      <c r="L33" s="3" t="s">
        <v>614</v>
      </c>
    </row>
    <row r="34" spans="1:12" x14ac:dyDescent="0.35">
      <c r="A34" s="22" t="s">
        <v>1119</v>
      </c>
      <c r="B34" t="s">
        <v>1115</v>
      </c>
      <c r="C34" t="s">
        <v>1080</v>
      </c>
      <c r="D34" s="2" t="str">
        <f>PROPER(Tab4_BlessuresJoueurs!A3)</f>
        <v>Dani</v>
      </c>
      <c r="E34" s="2" t="str">
        <f>UPPER(Tab4_BlessuresJoueurs!B3)</f>
        <v>CARVAJAL</v>
      </c>
      <c r="F34" t="s">
        <v>1115</v>
      </c>
      <c r="G34" t="s">
        <v>1115</v>
      </c>
      <c r="H34" t="s">
        <v>1115</v>
      </c>
      <c r="I34" t="s">
        <v>1115</v>
      </c>
      <c r="J34" t="s">
        <v>1115</v>
      </c>
      <c r="K34" t="s">
        <v>1115</v>
      </c>
      <c r="L34" s="6" t="s">
        <v>596</v>
      </c>
    </row>
    <row r="35" spans="1:12" x14ac:dyDescent="0.35">
      <c r="A35" s="22" t="s">
        <v>1119</v>
      </c>
      <c r="B35" t="s">
        <v>1115</v>
      </c>
      <c r="C35" t="s">
        <v>1080</v>
      </c>
      <c r="D35" s="2" t="str">
        <f>PROPER(Tab4_BlessuresJoueurs!A38)</f>
        <v>Dani</v>
      </c>
      <c r="E35" s="2" t="str">
        <f>UPPER(Tab4_BlessuresJoueurs!B38)</f>
        <v>CARVAJAL</v>
      </c>
      <c r="F35" t="s">
        <v>1115</v>
      </c>
      <c r="G35" t="s">
        <v>1115</v>
      </c>
      <c r="H35" t="s">
        <v>1115</v>
      </c>
      <c r="I35" t="s">
        <v>1115</v>
      </c>
      <c r="J35" t="s">
        <v>1115</v>
      </c>
      <c r="K35" t="s">
        <v>1115</v>
      </c>
      <c r="L35" s="6" t="s">
        <v>671</v>
      </c>
    </row>
    <row r="36" spans="1:12" x14ac:dyDescent="0.35">
      <c r="A36" s="25" t="s">
        <v>1122</v>
      </c>
      <c r="B36" t="s">
        <v>1115</v>
      </c>
      <c r="C36" t="s">
        <v>1221</v>
      </c>
      <c r="D36" t="s">
        <v>1181</v>
      </c>
      <c r="E36" t="s">
        <v>1216</v>
      </c>
      <c r="F36" t="s">
        <v>917</v>
      </c>
      <c r="G36" t="s">
        <v>535</v>
      </c>
      <c r="H36">
        <v>1997</v>
      </c>
      <c r="I36" t="s">
        <v>927</v>
      </c>
      <c r="J36">
        <v>95</v>
      </c>
      <c r="K36">
        <v>25</v>
      </c>
      <c r="L36" s="3" t="s">
        <v>1115</v>
      </c>
    </row>
    <row r="37" spans="1:12" x14ac:dyDescent="0.35">
      <c r="A37" s="27" t="s">
        <v>713</v>
      </c>
      <c r="B37" t="s">
        <v>374</v>
      </c>
      <c r="C37" t="s">
        <v>1080</v>
      </c>
      <c r="D37" t="s">
        <v>69</v>
      </c>
      <c r="E37" t="s">
        <v>1257</v>
      </c>
      <c r="F37" t="s">
        <v>926</v>
      </c>
      <c r="G37" t="s">
        <v>531</v>
      </c>
      <c r="H37">
        <v>1992</v>
      </c>
      <c r="I37" t="s">
        <v>1115</v>
      </c>
      <c r="J37" t="s">
        <v>1115</v>
      </c>
      <c r="K37" t="s">
        <v>1115</v>
      </c>
      <c r="L37" t="s">
        <v>1115</v>
      </c>
    </row>
    <row r="38" spans="1:12" x14ac:dyDescent="0.35">
      <c r="A38" s="20" t="s">
        <v>1085</v>
      </c>
      <c r="B38" s="15">
        <v>17</v>
      </c>
      <c r="C38" t="s">
        <v>1080</v>
      </c>
      <c r="D38" t="s">
        <v>591</v>
      </c>
      <c r="E38" t="s">
        <v>1103</v>
      </c>
      <c r="F38" t="s">
        <v>42</v>
      </c>
      <c r="G38" t="s">
        <v>1106</v>
      </c>
      <c r="H38">
        <v>1981</v>
      </c>
      <c r="I38" t="s">
        <v>1115</v>
      </c>
      <c r="J38" t="s">
        <v>1115</v>
      </c>
      <c r="K38" t="s">
        <v>1115</v>
      </c>
      <c r="L38" t="s">
        <v>1115</v>
      </c>
    </row>
    <row r="39" spans="1:12" x14ac:dyDescent="0.35">
      <c r="A39" s="22" t="s">
        <v>1119</v>
      </c>
      <c r="B39" t="s">
        <v>1115</v>
      </c>
      <c r="C39" t="s">
        <v>1080</v>
      </c>
      <c r="D39" s="2" t="str">
        <f>PROPER(Tab4_BlessuresJoueurs!A35)</f>
        <v>José Luis</v>
      </c>
      <c r="E39" s="2" t="str">
        <f>UPPER(Tab4_BlessuresJoueurs!B35)</f>
        <v>CATALÁ</v>
      </c>
      <c r="F39" t="s">
        <v>1115</v>
      </c>
      <c r="G39" t="s">
        <v>1115</v>
      </c>
      <c r="H39" t="s">
        <v>1115</v>
      </c>
      <c r="I39" t="s">
        <v>1115</v>
      </c>
      <c r="J39" t="s">
        <v>1115</v>
      </c>
      <c r="K39" t="s">
        <v>1115</v>
      </c>
      <c r="L39" s="3" t="s">
        <v>680</v>
      </c>
    </row>
    <row r="40" spans="1:12" x14ac:dyDescent="0.35">
      <c r="A40" s="27" t="s">
        <v>713</v>
      </c>
      <c r="B40" t="s">
        <v>484</v>
      </c>
      <c r="C40" t="s">
        <v>1080</v>
      </c>
      <c r="D40" t="s">
        <v>168</v>
      </c>
      <c r="E40" t="s">
        <v>1351</v>
      </c>
      <c r="F40" t="s">
        <v>914</v>
      </c>
      <c r="G40" t="s">
        <v>1374</v>
      </c>
      <c r="H40">
        <v>1988</v>
      </c>
      <c r="I40" t="s">
        <v>1115</v>
      </c>
      <c r="J40" t="s">
        <v>1115</v>
      </c>
      <c r="K40" t="s">
        <v>1115</v>
      </c>
      <c r="L40" t="s">
        <v>1115</v>
      </c>
    </row>
    <row r="41" spans="1:12" x14ac:dyDescent="0.35">
      <c r="A41" s="22" t="s">
        <v>1119</v>
      </c>
      <c r="B41" t="s">
        <v>1115</v>
      </c>
      <c r="C41" t="s">
        <v>1080</v>
      </c>
      <c r="D41" s="2" t="str">
        <f>PROPER(Tab4_BlessuresJoueurs!A23)</f>
        <v>Sidiki</v>
      </c>
      <c r="E41" s="2" t="str">
        <f>UPPER(Tab4_BlessuresJoueurs!B23)</f>
        <v>CHÉRIF</v>
      </c>
      <c r="F41" t="s">
        <v>1115</v>
      </c>
      <c r="G41" t="s">
        <v>1115</v>
      </c>
      <c r="H41" t="s">
        <v>1115</v>
      </c>
      <c r="I41" t="s">
        <v>1115</v>
      </c>
      <c r="J41" t="s">
        <v>1115</v>
      </c>
      <c r="K41" t="s">
        <v>1115</v>
      </c>
      <c r="L41" s="3" t="s">
        <v>628</v>
      </c>
    </row>
    <row r="42" spans="1:12" x14ac:dyDescent="0.35">
      <c r="A42" s="27" t="s">
        <v>713</v>
      </c>
      <c r="B42" t="s">
        <v>433</v>
      </c>
      <c r="C42" t="s">
        <v>1080</v>
      </c>
      <c r="D42" t="s">
        <v>270</v>
      </c>
      <c r="E42" t="s">
        <v>1308</v>
      </c>
      <c r="F42" t="s">
        <v>914</v>
      </c>
      <c r="G42" t="s">
        <v>535</v>
      </c>
      <c r="H42">
        <v>2004</v>
      </c>
      <c r="I42" t="s">
        <v>1115</v>
      </c>
      <c r="J42" t="s">
        <v>1115</v>
      </c>
      <c r="K42" t="s">
        <v>1115</v>
      </c>
      <c r="L42" t="s">
        <v>1115</v>
      </c>
    </row>
    <row r="43" spans="1:12" x14ac:dyDescent="0.35">
      <c r="A43" s="27" t="s">
        <v>713</v>
      </c>
      <c r="B43" t="s">
        <v>438</v>
      </c>
      <c r="C43" t="s">
        <v>1080</v>
      </c>
      <c r="D43" t="s">
        <v>78</v>
      </c>
      <c r="E43" t="s">
        <v>1313</v>
      </c>
      <c r="F43" t="s">
        <v>923</v>
      </c>
      <c r="G43" t="s">
        <v>536</v>
      </c>
      <c r="H43">
        <v>1985</v>
      </c>
      <c r="I43" t="s">
        <v>1115</v>
      </c>
      <c r="J43" t="s">
        <v>1115</v>
      </c>
      <c r="K43" t="s">
        <v>1115</v>
      </c>
      <c r="L43" t="s">
        <v>1115</v>
      </c>
    </row>
    <row r="44" spans="1:12" x14ac:dyDescent="0.35">
      <c r="A44" s="27" t="s">
        <v>713</v>
      </c>
      <c r="B44" t="s">
        <v>445</v>
      </c>
      <c r="C44" t="s">
        <v>1080</v>
      </c>
      <c r="D44" t="s">
        <v>114</v>
      </c>
      <c r="E44" t="s">
        <v>1320</v>
      </c>
      <c r="F44" t="s">
        <v>914</v>
      </c>
      <c r="G44" t="s">
        <v>536</v>
      </c>
      <c r="H44">
        <v>1998</v>
      </c>
      <c r="I44" t="s">
        <v>1115</v>
      </c>
      <c r="J44" t="s">
        <v>1115</v>
      </c>
      <c r="K44" t="s">
        <v>1115</v>
      </c>
      <c r="L44" t="s">
        <v>1115</v>
      </c>
    </row>
    <row r="45" spans="1:12" x14ac:dyDescent="0.35">
      <c r="A45" s="27" t="s">
        <v>713</v>
      </c>
      <c r="B45" t="s">
        <v>357</v>
      </c>
      <c r="C45" t="s">
        <v>1080</v>
      </c>
      <c r="D45" t="s">
        <v>291</v>
      </c>
      <c r="E45" t="s">
        <v>1245</v>
      </c>
      <c r="F45" t="s">
        <v>926</v>
      </c>
      <c r="G45" t="s">
        <v>528</v>
      </c>
      <c r="H45">
        <v>2004</v>
      </c>
      <c r="I45" t="s">
        <v>1115</v>
      </c>
      <c r="J45" t="s">
        <v>1115</v>
      </c>
      <c r="K45" t="s">
        <v>1115</v>
      </c>
      <c r="L45" t="s">
        <v>1115</v>
      </c>
    </row>
    <row r="46" spans="1:12" x14ac:dyDescent="0.35">
      <c r="A46" s="27" t="s">
        <v>713</v>
      </c>
      <c r="B46" t="s">
        <v>425</v>
      </c>
      <c r="C46" t="s">
        <v>1080</v>
      </c>
      <c r="D46" t="s">
        <v>206</v>
      </c>
      <c r="E46" t="s">
        <v>1301</v>
      </c>
      <c r="F46" t="s">
        <v>914</v>
      </c>
      <c r="G46" t="s">
        <v>535</v>
      </c>
      <c r="H46">
        <v>1997</v>
      </c>
      <c r="I46" t="s">
        <v>1115</v>
      </c>
      <c r="J46" t="s">
        <v>1115</v>
      </c>
      <c r="K46" t="s">
        <v>1115</v>
      </c>
      <c r="L46" t="s">
        <v>1115</v>
      </c>
    </row>
    <row r="47" spans="1:12" x14ac:dyDescent="0.35">
      <c r="A47" s="22" t="s">
        <v>1119</v>
      </c>
      <c r="B47" t="s">
        <v>1115</v>
      </c>
      <c r="C47" t="s">
        <v>1080</v>
      </c>
      <c r="D47" s="2" t="str">
        <f>PROPER(Tab4_BlessuresJoueurs!A27)</f>
        <v>Lasso</v>
      </c>
      <c r="E47" s="2" t="str">
        <f>UPPER(Tab4_BlessuresJoueurs!B27)</f>
        <v>COULIBALY</v>
      </c>
      <c r="F47" t="s">
        <v>1115</v>
      </c>
      <c r="G47" t="s">
        <v>1115</v>
      </c>
      <c r="H47" t="s">
        <v>1115</v>
      </c>
      <c r="I47" t="s">
        <v>1115</v>
      </c>
      <c r="J47" t="s">
        <v>1115</v>
      </c>
      <c r="K47" t="s">
        <v>1115</v>
      </c>
      <c r="L47" s="3" t="s">
        <v>655</v>
      </c>
    </row>
    <row r="48" spans="1:12" x14ac:dyDescent="0.35">
      <c r="A48" s="19" t="s">
        <v>878</v>
      </c>
      <c r="B48" t="s">
        <v>548</v>
      </c>
      <c r="C48" t="s">
        <v>1080</v>
      </c>
      <c r="D48" t="s">
        <v>41</v>
      </c>
      <c r="E48" t="s">
        <v>513</v>
      </c>
      <c r="F48" t="s">
        <v>487</v>
      </c>
      <c r="G48" t="s">
        <v>530</v>
      </c>
      <c r="H48" t="s">
        <v>1115</v>
      </c>
      <c r="I48" t="s">
        <v>1115</v>
      </c>
      <c r="J48" t="s">
        <v>1115</v>
      </c>
      <c r="K48" t="s">
        <v>1115</v>
      </c>
      <c r="L48" t="s">
        <v>1115</v>
      </c>
    </row>
    <row r="49" spans="1:12" x14ac:dyDescent="0.35">
      <c r="A49" s="27" t="s">
        <v>713</v>
      </c>
      <c r="B49" t="s">
        <v>369</v>
      </c>
      <c r="C49" t="s">
        <v>1080</v>
      </c>
      <c r="D49" t="s">
        <v>41</v>
      </c>
      <c r="E49" t="s">
        <v>513</v>
      </c>
      <c r="F49" t="s">
        <v>487</v>
      </c>
      <c r="G49" t="s">
        <v>530</v>
      </c>
      <c r="H49">
        <v>1992</v>
      </c>
      <c r="I49" t="s">
        <v>1115</v>
      </c>
      <c r="J49" t="s">
        <v>1115</v>
      </c>
      <c r="K49" t="s">
        <v>1115</v>
      </c>
      <c r="L49" t="s">
        <v>1115</v>
      </c>
    </row>
    <row r="50" spans="1:12" x14ac:dyDescent="0.35">
      <c r="A50" s="20" t="s">
        <v>1085</v>
      </c>
      <c r="B50" s="15">
        <v>7</v>
      </c>
      <c r="C50" t="s">
        <v>1080</v>
      </c>
      <c r="D50" t="s">
        <v>567</v>
      </c>
      <c r="E50" t="s">
        <v>1093</v>
      </c>
      <c r="F50" t="s">
        <v>25</v>
      </c>
      <c r="G50" t="s">
        <v>1105</v>
      </c>
      <c r="H50">
        <v>1947</v>
      </c>
      <c r="I50" t="s">
        <v>1115</v>
      </c>
      <c r="J50" t="s">
        <v>1115</v>
      </c>
      <c r="K50" t="s">
        <v>1115</v>
      </c>
      <c r="L50" t="s">
        <v>1115</v>
      </c>
    </row>
    <row r="51" spans="1:12" x14ac:dyDescent="0.35">
      <c r="A51" s="27" t="s">
        <v>713</v>
      </c>
      <c r="B51" t="s">
        <v>387</v>
      </c>
      <c r="C51" t="s">
        <v>1080</v>
      </c>
      <c r="D51" t="s">
        <v>274</v>
      </c>
      <c r="E51" t="s">
        <v>1268</v>
      </c>
      <c r="F51" t="s">
        <v>923</v>
      </c>
      <c r="G51" t="s">
        <v>1125</v>
      </c>
      <c r="H51">
        <v>2001</v>
      </c>
      <c r="I51" t="s">
        <v>1115</v>
      </c>
      <c r="J51" t="s">
        <v>1115</v>
      </c>
      <c r="K51" t="s">
        <v>1115</v>
      </c>
      <c r="L51" t="s">
        <v>1115</v>
      </c>
    </row>
    <row r="52" spans="1:12" x14ac:dyDescent="0.35">
      <c r="A52" s="27" t="s">
        <v>713</v>
      </c>
      <c r="B52" t="s">
        <v>368</v>
      </c>
      <c r="C52" t="s">
        <v>1080</v>
      </c>
      <c r="D52" t="s">
        <v>28</v>
      </c>
      <c r="E52" t="s">
        <v>1253</v>
      </c>
      <c r="F52" t="s">
        <v>926</v>
      </c>
      <c r="G52" t="s">
        <v>530</v>
      </c>
      <c r="H52">
        <v>1991</v>
      </c>
      <c r="I52" t="s">
        <v>1115</v>
      </c>
      <c r="J52" t="s">
        <v>1115</v>
      </c>
      <c r="K52" t="s">
        <v>1115</v>
      </c>
      <c r="L52" t="s">
        <v>1115</v>
      </c>
    </row>
    <row r="53" spans="1:12" x14ac:dyDescent="0.35">
      <c r="A53" s="27" t="s">
        <v>713</v>
      </c>
      <c r="B53" t="s">
        <v>428</v>
      </c>
      <c r="C53" t="s">
        <v>1080</v>
      </c>
      <c r="D53" t="s">
        <v>204</v>
      </c>
      <c r="E53" t="s">
        <v>1304</v>
      </c>
      <c r="F53" t="s">
        <v>926</v>
      </c>
      <c r="G53" t="s">
        <v>535</v>
      </c>
      <c r="H53">
        <v>2000</v>
      </c>
      <c r="I53" t="s">
        <v>1115</v>
      </c>
      <c r="J53" t="s">
        <v>1115</v>
      </c>
      <c r="K53" t="s">
        <v>1115</v>
      </c>
      <c r="L53" t="s">
        <v>1115</v>
      </c>
    </row>
    <row r="54" spans="1:12" x14ac:dyDescent="0.35">
      <c r="A54" s="27" t="s">
        <v>713</v>
      </c>
      <c r="B54" t="s">
        <v>458</v>
      </c>
      <c r="C54" t="s">
        <v>1080</v>
      </c>
      <c r="D54" t="s">
        <v>102</v>
      </c>
      <c r="E54" t="s">
        <v>1331</v>
      </c>
      <c r="F54" t="s">
        <v>914</v>
      </c>
      <c r="G54" t="s">
        <v>1105</v>
      </c>
      <c r="H54">
        <v>1994</v>
      </c>
      <c r="I54" t="s">
        <v>1115</v>
      </c>
      <c r="J54" t="s">
        <v>1115</v>
      </c>
      <c r="K54" t="s">
        <v>1115</v>
      </c>
      <c r="L54" t="s">
        <v>1115</v>
      </c>
    </row>
    <row r="55" spans="1:12" x14ac:dyDescent="0.35">
      <c r="A55" s="27" t="s">
        <v>713</v>
      </c>
      <c r="B55" t="s">
        <v>359</v>
      </c>
      <c r="C55" t="s">
        <v>1080</v>
      </c>
      <c r="D55" t="s">
        <v>104</v>
      </c>
      <c r="E55" t="s">
        <v>1246</v>
      </c>
      <c r="F55" t="s">
        <v>926</v>
      </c>
      <c r="G55" t="s">
        <v>529</v>
      </c>
      <c r="H55">
        <v>1988</v>
      </c>
      <c r="I55" t="s">
        <v>1115</v>
      </c>
      <c r="J55" t="s">
        <v>1115</v>
      </c>
      <c r="K55" t="s">
        <v>1115</v>
      </c>
      <c r="L55" t="s">
        <v>1115</v>
      </c>
    </row>
    <row r="56" spans="1:12" x14ac:dyDescent="0.35">
      <c r="A56" s="20" t="s">
        <v>1085</v>
      </c>
      <c r="B56" s="15">
        <v>1</v>
      </c>
      <c r="C56" t="s">
        <v>1080</v>
      </c>
      <c r="D56" t="s">
        <v>571</v>
      </c>
      <c r="E56" t="s">
        <v>1087</v>
      </c>
      <c r="F56" t="s">
        <v>7</v>
      </c>
      <c r="G56" t="s">
        <v>529</v>
      </c>
      <c r="H56">
        <v>1926</v>
      </c>
      <c r="I56" t="s">
        <v>1115</v>
      </c>
      <c r="J56" t="s">
        <v>1115</v>
      </c>
      <c r="K56" t="s">
        <v>1115</v>
      </c>
      <c r="L56" t="s">
        <v>1115</v>
      </c>
    </row>
    <row r="57" spans="1:12" x14ac:dyDescent="0.35">
      <c r="A57" s="27" t="s">
        <v>713</v>
      </c>
      <c r="B57" t="s">
        <v>468</v>
      </c>
      <c r="C57" t="s">
        <v>1080</v>
      </c>
      <c r="D57" t="s">
        <v>96</v>
      </c>
      <c r="E57" t="s">
        <v>1339</v>
      </c>
      <c r="F57" t="s">
        <v>923</v>
      </c>
      <c r="G57" t="s">
        <v>1086</v>
      </c>
      <c r="H57">
        <v>1997</v>
      </c>
      <c r="I57" t="s">
        <v>1115</v>
      </c>
      <c r="J57" t="s">
        <v>1115</v>
      </c>
      <c r="K57" t="s">
        <v>1115</v>
      </c>
      <c r="L57" t="s">
        <v>1115</v>
      </c>
    </row>
    <row r="58" spans="1:12" x14ac:dyDescent="0.35">
      <c r="A58" s="27" t="s">
        <v>713</v>
      </c>
      <c r="B58" t="s">
        <v>391</v>
      </c>
      <c r="C58" t="s">
        <v>1080</v>
      </c>
      <c r="D58" t="s">
        <v>272</v>
      </c>
      <c r="E58" t="s">
        <v>1271</v>
      </c>
      <c r="F58" t="s">
        <v>923</v>
      </c>
      <c r="G58" t="s">
        <v>1363</v>
      </c>
      <c r="H58">
        <v>2002</v>
      </c>
      <c r="I58" t="s">
        <v>1115</v>
      </c>
      <c r="J58" t="s">
        <v>1115</v>
      </c>
      <c r="K58" t="s">
        <v>1115</v>
      </c>
      <c r="L58" t="s">
        <v>1115</v>
      </c>
    </row>
    <row r="59" spans="1:12" x14ac:dyDescent="0.35">
      <c r="A59" s="19" t="s">
        <v>878</v>
      </c>
      <c r="B59" t="s">
        <v>556</v>
      </c>
      <c r="C59" t="s">
        <v>1080</v>
      </c>
      <c r="D59" t="s">
        <v>306</v>
      </c>
      <c r="E59" t="s">
        <v>521</v>
      </c>
      <c r="F59" t="s">
        <v>487</v>
      </c>
      <c r="G59" t="s">
        <v>536</v>
      </c>
      <c r="H59" t="s">
        <v>1115</v>
      </c>
      <c r="I59" t="s">
        <v>1115</v>
      </c>
      <c r="J59" t="s">
        <v>1115</v>
      </c>
      <c r="K59" t="s">
        <v>1115</v>
      </c>
      <c r="L59" t="s">
        <v>1115</v>
      </c>
    </row>
    <row r="60" spans="1:12" x14ac:dyDescent="0.35">
      <c r="A60" s="27" t="s">
        <v>713</v>
      </c>
      <c r="B60" t="s">
        <v>446</v>
      </c>
      <c r="C60" t="s">
        <v>1080</v>
      </c>
      <c r="D60" t="s">
        <v>306</v>
      </c>
      <c r="E60" t="s">
        <v>521</v>
      </c>
      <c r="F60" t="s">
        <v>487</v>
      </c>
      <c r="G60" t="s">
        <v>536</v>
      </c>
      <c r="H60">
        <v>1999</v>
      </c>
      <c r="I60" t="s">
        <v>1115</v>
      </c>
      <c r="J60" t="s">
        <v>1115</v>
      </c>
      <c r="K60" t="s">
        <v>1115</v>
      </c>
      <c r="L60" t="s">
        <v>1115</v>
      </c>
    </row>
    <row r="61" spans="1:12" x14ac:dyDescent="0.35">
      <c r="A61" s="27" t="s">
        <v>713</v>
      </c>
      <c r="B61" t="s">
        <v>361</v>
      </c>
      <c r="C61" t="s">
        <v>1080</v>
      </c>
      <c r="D61" t="s">
        <v>106</v>
      </c>
      <c r="E61" t="s">
        <v>1247</v>
      </c>
      <c r="F61" t="s">
        <v>914</v>
      </c>
      <c r="G61" t="s">
        <v>529</v>
      </c>
      <c r="H61">
        <v>1994</v>
      </c>
      <c r="I61" t="s">
        <v>1115</v>
      </c>
      <c r="J61" t="s">
        <v>1115</v>
      </c>
      <c r="K61" t="s">
        <v>1115</v>
      </c>
      <c r="L61" t="s">
        <v>1115</v>
      </c>
    </row>
    <row r="62" spans="1:12" x14ac:dyDescent="0.35">
      <c r="A62" s="19" t="s">
        <v>878</v>
      </c>
      <c r="B62" t="s">
        <v>550</v>
      </c>
      <c r="C62" t="s">
        <v>1080</v>
      </c>
      <c r="D62" t="s">
        <v>302</v>
      </c>
      <c r="E62" t="s">
        <v>515</v>
      </c>
      <c r="F62" t="s">
        <v>487</v>
      </c>
      <c r="G62" t="s">
        <v>531</v>
      </c>
      <c r="H62" t="s">
        <v>1115</v>
      </c>
      <c r="I62" t="s">
        <v>1115</v>
      </c>
      <c r="J62" t="s">
        <v>1115</v>
      </c>
      <c r="K62" t="s">
        <v>1115</v>
      </c>
      <c r="L62" t="s">
        <v>1115</v>
      </c>
    </row>
    <row r="63" spans="1:12" x14ac:dyDescent="0.35">
      <c r="A63" s="27" t="s">
        <v>713</v>
      </c>
      <c r="B63" t="s">
        <v>377</v>
      </c>
      <c r="C63" t="s">
        <v>1080</v>
      </c>
      <c r="D63" t="s">
        <v>302</v>
      </c>
      <c r="E63" t="s">
        <v>515</v>
      </c>
      <c r="F63" t="s">
        <v>487</v>
      </c>
      <c r="G63" t="s">
        <v>531</v>
      </c>
      <c r="H63">
        <v>1994</v>
      </c>
      <c r="I63" t="s">
        <v>1115</v>
      </c>
      <c r="J63" t="s">
        <v>1115</v>
      </c>
      <c r="K63" t="s">
        <v>1115</v>
      </c>
      <c r="L63" t="s">
        <v>1115</v>
      </c>
    </row>
    <row r="64" spans="1:12" x14ac:dyDescent="0.35">
      <c r="A64" s="27" t="s">
        <v>713</v>
      </c>
      <c r="B64" t="s">
        <v>384</v>
      </c>
      <c r="C64" t="s">
        <v>1080</v>
      </c>
      <c r="D64" t="s">
        <v>295</v>
      </c>
      <c r="E64" t="s">
        <v>1266</v>
      </c>
      <c r="F64" t="s">
        <v>914</v>
      </c>
      <c r="G64" t="s">
        <v>531</v>
      </c>
      <c r="H64">
        <v>2007</v>
      </c>
      <c r="I64" t="s">
        <v>1115</v>
      </c>
      <c r="J64" t="s">
        <v>1115</v>
      </c>
      <c r="K64" t="s">
        <v>1115</v>
      </c>
      <c r="L64" t="s">
        <v>1115</v>
      </c>
    </row>
    <row r="65" spans="1:12" x14ac:dyDescent="0.35">
      <c r="A65" s="25" t="s">
        <v>1122</v>
      </c>
      <c r="B65" t="s">
        <v>1115</v>
      </c>
      <c r="C65" t="s">
        <v>1221</v>
      </c>
      <c r="D65" t="s">
        <v>1155</v>
      </c>
      <c r="E65" t="s">
        <v>1203</v>
      </c>
      <c r="F65" t="s">
        <v>926</v>
      </c>
      <c r="G65" t="s">
        <v>913</v>
      </c>
      <c r="H65">
        <v>1992</v>
      </c>
      <c r="I65" t="s">
        <v>941</v>
      </c>
      <c r="J65">
        <v>120</v>
      </c>
      <c r="K65">
        <v>20</v>
      </c>
      <c r="L65" s="3" t="s">
        <v>1115</v>
      </c>
    </row>
    <row r="66" spans="1:12" x14ac:dyDescent="0.35">
      <c r="A66" s="27" t="s">
        <v>713</v>
      </c>
      <c r="B66" t="s">
        <v>385</v>
      </c>
      <c r="C66" t="s">
        <v>1080</v>
      </c>
      <c r="D66" t="s">
        <v>156</v>
      </c>
      <c r="E66" t="s">
        <v>1267</v>
      </c>
      <c r="F66" t="s">
        <v>914</v>
      </c>
      <c r="G66" t="s">
        <v>532</v>
      </c>
      <c r="H66">
        <v>1982</v>
      </c>
      <c r="I66" t="s">
        <v>1115</v>
      </c>
      <c r="J66" t="s">
        <v>1115</v>
      </c>
      <c r="K66" t="s">
        <v>1115</v>
      </c>
      <c r="L66" t="s">
        <v>1115</v>
      </c>
    </row>
    <row r="67" spans="1:12" x14ac:dyDescent="0.35">
      <c r="A67" s="27" t="s">
        <v>713</v>
      </c>
      <c r="B67" t="s">
        <v>376</v>
      </c>
      <c r="C67" t="s">
        <v>1080</v>
      </c>
      <c r="D67" t="s">
        <v>178</v>
      </c>
      <c r="E67" t="s">
        <v>1259</v>
      </c>
      <c r="F67" t="s">
        <v>926</v>
      </c>
      <c r="G67" t="s">
        <v>531</v>
      </c>
      <c r="H67">
        <v>1993</v>
      </c>
      <c r="I67" t="s">
        <v>1115</v>
      </c>
      <c r="J67" t="s">
        <v>1115</v>
      </c>
      <c r="K67" t="s">
        <v>1115</v>
      </c>
      <c r="L67" t="s">
        <v>1115</v>
      </c>
    </row>
    <row r="68" spans="1:12" x14ac:dyDescent="0.35">
      <c r="A68" s="27" t="s">
        <v>713</v>
      </c>
      <c r="B68" t="s">
        <v>469</v>
      </c>
      <c r="C68" t="s">
        <v>1080</v>
      </c>
      <c r="D68" t="s">
        <v>202</v>
      </c>
      <c r="E68" t="s">
        <v>1340</v>
      </c>
      <c r="F68" t="s">
        <v>914</v>
      </c>
      <c r="G68" t="s">
        <v>1086</v>
      </c>
      <c r="H68">
        <v>1997</v>
      </c>
      <c r="I68" t="s">
        <v>1115</v>
      </c>
      <c r="J68" t="s">
        <v>1115</v>
      </c>
      <c r="K68" t="s">
        <v>1115</v>
      </c>
      <c r="L68" t="s">
        <v>1115</v>
      </c>
    </row>
    <row r="69" spans="1:12" x14ac:dyDescent="0.35">
      <c r="A69" s="27" t="s">
        <v>713</v>
      </c>
      <c r="B69" t="s">
        <v>410</v>
      </c>
      <c r="C69" t="s">
        <v>1080</v>
      </c>
      <c r="D69" t="s">
        <v>233</v>
      </c>
      <c r="E69" t="s">
        <v>1288</v>
      </c>
      <c r="F69" t="s">
        <v>914</v>
      </c>
      <c r="G69" t="s">
        <v>1106</v>
      </c>
      <c r="H69">
        <v>2003</v>
      </c>
      <c r="I69" t="s">
        <v>1115</v>
      </c>
      <c r="J69" t="s">
        <v>1115</v>
      </c>
      <c r="K69" t="s">
        <v>1115</v>
      </c>
      <c r="L69" t="s">
        <v>1115</v>
      </c>
    </row>
    <row r="70" spans="1:12" x14ac:dyDescent="0.35">
      <c r="A70" s="27" t="s">
        <v>713</v>
      </c>
      <c r="B70" t="s">
        <v>436</v>
      </c>
      <c r="C70" t="s">
        <v>1080</v>
      </c>
      <c r="D70" t="s">
        <v>254</v>
      </c>
      <c r="E70" t="s">
        <v>1311</v>
      </c>
      <c r="F70" t="s">
        <v>914</v>
      </c>
      <c r="G70" t="s">
        <v>1370</v>
      </c>
      <c r="H70">
        <v>2005</v>
      </c>
      <c r="I70" t="s">
        <v>1115</v>
      </c>
      <c r="J70" t="s">
        <v>1115</v>
      </c>
      <c r="K70" t="s">
        <v>1115</v>
      </c>
      <c r="L70" t="s">
        <v>1115</v>
      </c>
    </row>
    <row r="71" spans="1:12" x14ac:dyDescent="0.35">
      <c r="A71" s="27" t="s">
        <v>713</v>
      </c>
      <c r="B71" t="s">
        <v>467</v>
      </c>
      <c r="C71" t="s">
        <v>1080</v>
      </c>
      <c r="D71" t="s">
        <v>94</v>
      </c>
      <c r="E71" t="s">
        <v>1338</v>
      </c>
      <c r="F71" t="s">
        <v>926</v>
      </c>
      <c r="G71" t="s">
        <v>1086</v>
      </c>
      <c r="H71">
        <v>1995</v>
      </c>
      <c r="I71" t="s">
        <v>1115</v>
      </c>
      <c r="J71" t="s">
        <v>1115</v>
      </c>
      <c r="K71" t="s">
        <v>1115</v>
      </c>
      <c r="L71" t="s">
        <v>1115</v>
      </c>
    </row>
    <row r="72" spans="1:12" x14ac:dyDescent="0.35">
      <c r="A72" s="22" t="s">
        <v>1119</v>
      </c>
      <c r="B72" t="s">
        <v>1115</v>
      </c>
      <c r="C72" t="s">
        <v>1080</v>
      </c>
      <c r="D72" s="2" t="str">
        <f>PROPER(Tab4_BlessuresJoueurs!A21)</f>
        <v>Matias</v>
      </c>
      <c r="E72" s="2" t="str">
        <f>UPPER(Tab4_BlessuresJoueurs!B21)</f>
        <v>FERNANDEZ-PARDO</v>
      </c>
      <c r="F72" t="s">
        <v>1115</v>
      </c>
      <c r="G72" t="s">
        <v>1115</v>
      </c>
      <c r="H72" t="s">
        <v>1115</v>
      </c>
      <c r="I72" t="s">
        <v>1115</v>
      </c>
      <c r="J72" t="s">
        <v>1115</v>
      </c>
      <c r="K72" t="s">
        <v>1115</v>
      </c>
      <c r="L72" s="3" t="s">
        <v>641</v>
      </c>
    </row>
    <row r="73" spans="1:12" x14ac:dyDescent="0.35">
      <c r="A73" s="22" t="s">
        <v>1119</v>
      </c>
      <c r="B73" t="s">
        <v>1115</v>
      </c>
      <c r="C73" t="s">
        <v>1080</v>
      </c>
      <c r="D73" s="2" t="str">
        <f>PROPER(Tab4_BlessuresJoueurs!A8)</f>
        <v>Alessandro</v>
      </c>
      <c r="E73" s="2" t="str">
        <f>UPPER(Tab4_BlessuresJoueurs!B8)</f>
        <v>FLORENZI</v>
      </c>
      <c r="F73" t="s">
        <v>1115</v>
      </c>
      <c r="G73" t="s">
        <v>1115</v>
      </c>
      <c r="H73" t="s">
        <v>1115</v>
      </c>
      <c r="I73" t="s">
        <v>1115</v>
      </c>
      <c r="J73" t="s">
        <v>1115</v>
      </c>
      <c r="K73" t="s">
        <v>1115</v>
      </c>
      <c r="L73" s="3" t="s">
        <v>596</v>
      </c>
    </row>
    <row r="74" spans="1:12" x14ac:dyDescent="0.35">
      <c r="A74" s="22" t="s">
        <v>1119</v>
      </c>
      <c r="B74" t="s">
        <v>1115</v>
      </c>
      <c r="C74" t="s">
        <v>1080</v>
      </c>
      <c r="D74" s="2" t="str">
        <f>PROPER(Tab4_BlessuresJoueurs!A43)</f>
        <v>Alessandro</v>
      </c>
      <c r="E74" s="2" t="str">
        <f>UPPER(Tab4_BlessuresJoueurs!B43)</f>
        <v>FLORENZI</v>
      </c>
      <c r="F74" t="s">
        <v>1115</v>
      </c>
      <c r="G74" t="s">
        <v>1115</v>
      </c>
      <c r="H74" t="s">
        <v>1115</v>
      </c>
      <c r="I74" t="s">
        <v>1115</v>
      </c>
      <c r="J74" t="s">
        <v>1115</v>
      </c>
      <c r="K74" t="s">
        <v>1115</v>
      </c>
      <c r="L74" s="3" t="s">
        <v>671</v>
      </c>
    </row>
    <row r="75" spans="1:12" x14ac:dyDescent="0.35">
      <c r="A75" s="27" t="s">
        <v>713</v>
      </c>
      <c r="B75" t="s">
        <v>354</v>
      </c>
      <c r="C75" t="s">
        <v>1080</v>
      </c>
      <c r="D75" t="s">
        <v>81</v>
      </c>
      <c r="E75" t="s">
        <v>1242</v>
      </c>
      <c r="F75" t="s">
        <v>926</v>
      </c>
      <c r="G75" t="s">
        <v>528</v>
      </c>
      <c r="H75">
        <v>2000</v>
      </c>
      <c r="I75" t="s">
        <v>1115</v>
      </c>
      <c r="J75" t="s">
        <v>1115</v>
      </c>
      <c r="K75" t="s">
        <v>1115</v>
      </c>
      <c r="L75" t="s">
        <v>1115</v>
      </c>
    </row>
    <row r="76" spans="1:12" x14ac:dyDescent="0.35">
      <c r="A76" s="27" t="s">
        <v>713</v>
      </c>
      <c r="B76" t="s">
        <v>366</v>
      </c>
      <c r="C76" t="s">
        <v>1080</v>
      </c>
      <c r="D76" t="s">
        <v>243</v>
      </c>
      <c r="E76" t="s">
        <v>1251</v>
      </c>
      <c r="F76" t="s">
        <v>914</v>
      </c>
      <c r="G76" t="s">
        <v>529</v>
      </c>
      <c r="H76">
        <v>2005</v>
      </c>
      <c r="I76" t="s">
        <v>1115</v>
      </c>
      <c r="J76" t="s">
        <v>1115</v>
      </c>
      <c r="K76" t="s">
        <v>1115</v>
      </c>
      <c r="L76" t="s">
        <v>1115</v>
      </c>
    </row>
    <row r="77" spans="1:12" x14ac:dyDescent="0.35">
      <c r="A77" s="27" t="s">
        <v>713</v>
      </c>
      <c r="B77" t="s">
        <v>414</v>
      </c>
      <c r="C77" t="s">
        <v>1080</v>
      </c>
      <c r="D77" t="s">
        <v>225</v>
      </c>
      <c r="E77" t="s">
        <v>1292</v>
      </c>
      <c r="F77" t="s">
        <v>926</v>
      </c>
      <c r="G77" t="s">
        <v>1106</v>
      </c>
      <c r="H77">
        <v>2005</v>
      </c>
      <c r="I77" t="s">
        <v>1115</v>
      </c>
      <c r="J77" t="s">
        <v>1115</v>
      </c>
      <c r="K77" t="s">
        <v>1115</v>
      </c>
      <c r="L77" t="s">
        <v>1115</v>
      </c>
    </row>
    <row r="78" spans="1:12" x14ac:dyDescent="0.35">
      <c r="A78" s="27" t="s">
        <v>713</v>
      </c>
      <c r="B78" t="s">
        <v>346</v>
      </c>
      <c r="C78" t="s">
        <v>1080</v>
      </c>
      <c r="D78" t="s">
        <v>170</v>
      </c>
      <c r="E78" t="s">
        <v>1237</v>
      </c>
      <c r="F78" t="s">
        <v>926</v>
      </c>
      <c r="G78" t="s">
        <v>528</v>
      </c>
      <c r="H78">
        <v>1980</v>
      </c>
      <c r="I78" t="s">
        <v>1115</v>
      </c>
      <c r="J78" t="s">
        <v>1115</v>
      </c>
      <c r="K78" t="s">
        <v>1115</v>
      </c>
      <c r="L78" t="s">
        <v>1115</v>
      </c>
    </row>
    <row r="79" spans="1:12" x14ac:dyDescent="0.35">
      <c r="A79" s="27" t="s">
        <v>713</v>
      </c>
      <c r="B79" t="s">
        <v>408</v>
      </c>
      <c r="C79" t="s">
        <v>1080</v>
      </c>
      <c r="D79" t="s">
        <v>268</v>
      </c>
      <c r="E79" t="s">
        <v>1286</v>
      </c>
      <c r="F79" t="s">
        <v>926</v>
      </c>
      <c r="G79" t="s">
        <v>1106</v>
      </c>
      <c r="H79">
        <v>2002</v>
      </c>
      <c r="I79" t="s">
        <v>1115</v>
      </c>
      <c r="J79" t="s">
        <v>1115</v>
      </c>
      <c r="K79" t="s">
        <v>1115</v>
      </c>
      <c r="L79" t="s">
        <v>1115</v>
      </c>
    </row>
    <row r="80" spans="1:12" x14ac:dyDescent="0.35">
      <c r="A80" s="27" t="s">
        <v>713</v>
      </c>
      <c r="B80" t="s">
        <v>341</v>
      </c>
      <c r="C80" t="s">
        <v>1080</v>
      </c>
      <c r="D80" t="s">
        <v>100</v>
      </c>
      <c r="E80" t="s">
        <v>1232</v>
      </c>
      <c r="F80" t="s">
        <v>914</v>
      </c>
      <c r="G80" t="s">
        <v>527</v>
      </c>
      <c r="H80">
        <v>1997</v>
      </c>
      <c r="I80" t="s">
        <v>1115</v>
      </c>
      <c r="J80" t="s">
        <v>1115</v>
      </c>
      <c r="K80" t="s">
        <v>1115</v>
      </c>
      <c r="L80" t="s">
        <v>1115</v>
      </c>
    </row>
    <row r="81" spans="1:12" x14ac:dyDescent="0.35">
      <c r="A81" s="22" t="s">
        <v>1119</v>
      </c>
      <c r="B81" t="s">
        <v>1115</v>
      </c>
      <c r="C81" t="s">
        <v>1080</v>
      </c>
      <c r="D81" s="2" t="str">
        <f>PROPER(Tab4_BlessuresJoueurs!A34)</f>
        <v>José</v>
      </c>
      <c r="E81" s="2" t="str">
        <f>UPPER(Tab4_BlessuresJoueurs!B34)</f>
        <v>GRAGERA</v>
      </c>
      <c r="F81" t="s">
        <v>1115</v>
      </c>
      <c r="G81" t="s">
        <v>1115</v>
      </c>
      <c r="H81" t="s">
        <v>1115</v>
      </c>
      <c r="I81" t="s">
        <v>1115</v>
      </c>
      <c r="J81" t="s">
        <v>1115</v>
      </c>
      <c r="K81" t="s">
        <v>1115</v>
      </c>
      <c r="L81" s="3" t="s">
        <v>679</v>
      </c>
    </row>
    <row r="82" spans="1:12" x14ac:dyDescent="0.35">
      <c r="A82" s="27" t="s">
        <v>713</v>
      </c>
      <c r="B82" t="s">
        <v>461</v>
      </c>
      <c r="C82" t="s">
        <v>1080</v>
      </c>
      <c r="D82" t="s">
        <v>212</v>
      </c>
      <c r="E82" t="s">
        <v>1334</v>
      </c>
      <c r="F82" t="s">
        <v>926</v>
      </c>
      <c r="G82" t="s">
        <v>1105</v>
      </c>
      <c r="H82">
        <v>2003</v>
      </c>
      <c r="I82" t="s">
        <v>1115</v>
      </c>
      <c r="J82" t="s">
        <v>1115</v>
      </c>
      <c r="K82" t="s">
        <v>1115</v>
      </c>
      <c r="L82" t="s">
        <v>1115</v>
      </c>
    </row>
    <row r="83" spans="1:12" x14ac:dyDescent="0.35">
      <c r="A83" s="27" t="s">
        <v>713</v>
      </c>
      <c r="B83" t="s">
        <v>419</v>
      </c>
      <c r="C83" t="s">
        <v>1080</v>
      </c>
      <c r="D83" t="s">
        <v>56</v>
      </c>
      <c r="E83" t="s">
        <v>1296</v>
      </c>
      <c r="F83" t="s">
        <v>914</v>
      </c>
      <c r="G83" t="s">
        <v>535</v>
      </c>
      <c r="H83">
        <v>1991</v>
      </c>
      <c r="I83" t="s">
        <v>1115</v>
      </c>
      <c r="J83" t="s">
        <v>1115</v>
      </c>
      <c r="K83" t="s">
        <v>1115</v>
      </c>
      <c r="L83" t="s">
        <v>1115</v>
      </c>
    </row>
    <row r="84" spans="1:12" x14ac:dyDescent="0.35">
      <c r="A84" s="25" t="s">
        <v>1122</v>
      </c>
      <c r="B84" t="s">
        <v>1115</v>
      </c>
      <c r="C84" t="s">
        <v>1221</v>
      </c>
      <c r="D84" t="s">
        <v>1177</v>
      </c>
      <c r="E84" t="s">
        <v>1214</v>
      </c>
      <c r="F84" t="s">
        <v>926</v>
      </c>
      <c r="G84" t="s">
        <v>1106</v>
      </c>
      <c r="H84">
        <v>1998</v>
      </c>
      <c r="I84" t="s">
        <v>924</v>
      </c>
      <c r="J84">
        <v>90</v>
      </c>
      <c r="K84">
        <v>20</v>
      </c>
      <c r="L84" s="3" t="s">
        <v>1115</v>
      </c>
    </row>
    <row r="85" spans="1:12" x14ac:dyDescent="0.35">
      <c r="A85" s="27" t="s">
        <v>713</v>
      </c>
      <c r="B85" t="s">
        <v>337</v>
      </c>
      <c r="C85" t="s">
        <v>1080</v>
      </c>
      <c r="D85" t="s">
        <v>92</v>
      </c>
      <c r="E85" t="s">
        <v>1229</v>
      </c>
      <c r="F85" t="s">
        <v>926</v>
      </c>
      <c r="G85" t="s">
        <v>527</v>
      </c>
      <c r="H85">
        <v>1991</v>
      </c>
      <c r="I85" t="s">
        <v>1115</v>
      </c>
      <c r="J85" t="s">
        <v>1115</v>
      </c>
      <c r="K85" t="s">
        <v>1115</v>
      </c>
      <c r="L85" t="s">
        <v>1115</v>
      </c>
    </row>
    <row r="86" spans="1:12" x14ac:dyDescent="0.35">
      <c r="A86" s="27" t="s">
        <v>713</v>
      </c>
      <c r="B86" t="s">
        <v>394</v>
      </c>
      <c r="C86" t="s">
        <v>1080</v>
      </c>
      <c r="D86" t="s">
        <v>259</v>
      </c>
      <c r="E86" t="s">
        <v>1273</v>
      </c>
      <c r="F86" t="s">
        <v>923</v>
      </c>
      <c r="G86" t="s">
        <v>534</v>
      </c>
      <c r="H86">
        <v>2002</v>
      </c>
      <c r="I86" t="s">
        <v>1115</v>
      </c>
      <c r="J86" t="s">
        <v>1115</v>
      </c>
      <c r="K86" t="s">
        <v>1115</v>
      </c>
      <c r="L86" t="s">
        <v>1115</v>
      </c>
    </row>
    <row r="87" spans="1:12" x14ac:dyDescent="0.35">
      <c r="A87" s="27" t="s">
        <v>713</v>
      </c>
      <c r="B87" t="s">
        <v>454</v>
      </c>
      <c r="C87" t="s">
        <v>1080</v>
      </c>
      <c r="D87" t="s">
        <v>38</v>
      </c>
      <c r="E87" t="s">
        <v>1327</v>
      </c>
      <c r="F87" t="s">
        <v>914</v>
      </c>
      <c r="G87" t="s">
        <v>1126</v>
      </c>
      <c r="H87">
        <v>2000</v>
      </c>
      <c r="I87" t="s">
        <v>1115</v>
      </c>
      <c r="J87" t="s">
        <v>1115</v>
      </c>
      <c r="K87" t="s">
        <v>1115</v>
      </c>
      <c r="L87" t="s">
        <v>1115</v>
      </c>
    </row>
    <row r="88" spans="1:12" x14ac:dyDescent="0.35">
      <c r="A88" s="27" t="s">
        <v>713</v>
      </c>
      <c r="B88" t="s">
        <v>451</v>
      </c>
      <c r="C88" t="s">
        <v>1080</v>
      </c>
      <c r="D88" t="s">
        <v>85</v>
      </c>
      <c r="E88" t="s">
        <v>1325</v>
      </c>
      <c r="F88" t="s">
        <v>923</v>
      </c>
      <c r="G88" t="s">
        <v>1371</v>
      </c>
      <c r="H88">
        <v>1999</v>
      </c>
      <c r="I88" t="s">
        <v>1115</v>
      </c>
      <c r="J88" t="s">
        <v>1115</v>
      </c>
      <c r="K88" t="s">
        <v>1115</v>
      </c>
      <c r="L88" t="s">
        <v>1115</v>
      </c>
    </row>
    <row r="89" spans="1:12" x14ac:dyDescent="0.35">
      <c r="A89" s="25" t="s">
        <v>1122</v>
      </c>
      <c r="B89" t="s">
        <v>1115</v>
      </c>
      <c r="C89" t="s">
        <v>1221</v>
      </c>
      <c r="D89" t="s">
        <v>1163</v>
      </c>
      <c r="E89" t="s">
        <v>1207</v>
      </c>
      <c r="F89" t="s">
        <v>914</v>
      </c>
      <c r="G89" t="s">
        <v>1107</v>
      </c>
      <c r="H89">
        <v>1992</v>
      </c>
      <c r="I89" t="s">
        <v>949</v>
      </c>
      <c r="J89">
        <v>150</v>
      </c>
      <c r="K89">
        <v>105</v>
      </c>
      <c r="L89" s="3" t="s">
        <v>1115</v>
      </c>
    </row>
    <row r="90" spans="1:12" x14ac:dyDescent="0.35">
      <c r="A90" s="25" t="s">
        <v>1122</v>
      </c>
      <c r="B90" t="s">
        <v>1115</v>
      </c>
      <c r="C90" t="s">
        <v>1221</v>
      </c>
      <c r="D90" t="s">
        <v>1159</v>
      </c>
      <c r="E90" t="s">
        <v>1205</v>
      </c>
      <c r="F90" t="s">
        <v>917</v>
      </c>
      <c r="G90" t="s">
        <v>913</v>
      </c>
      <c r="H90">
        <v>1988</v>
      </c>
      <c r="I90" t="s">
        <v>945</v>
      </c>
      <c r="J90">
        <v>190</v>
      </c>
      <c r="K90">
        <v>65</v>
      </c>
      <c r="L90" s="3" t="s">
        <v>1115</v>
      </c>
    </row>
    <row r="91" spans="1:12" x14ac:dyDescent="0.35">
      <c r="A91" s="25" t="s">
        <v>1122</v>
      </c>
      <c r="B91" t="s">
        <v>1115</v>
      </c>
      <c r="C91" t="s">
        <v>1221</v>
      </c>
      <c r="D91" t="s">
        <v>1149</v>
      </c>
      <c r="E91" t="s">
        <v>1200</v>
      </c>
      <c r="F91" t="s">
        <v>914</v>
      </c>
      <c r="G91" t="s">
        <v>1126</v>
      </c>
      <c r="H91">
        <v>1995</v>
      </c>
      <c r="I91" t="s">
        <v>927</v>
      </c>
      <c r="J91">
        <v>85</v>
      </c>
      <c r="K91">
        <v>55</v>
      </c>
      <c r="L91" s="3" t="s">
        <v>1115</v>
      </c>
    </row>
    <row r="92" spans="1:12" x14ac:dyDescent="0.35">
      <c r="A92" s="25" t="s">
        <v>1122</v>
      </c>
      <c r="B92" t="s">
        <v>1115</v>
      </c>
      <c r="C92" t="s">
        <v>1221</v>
      </c>
      <c r="D92" t="s">
        <v>1138</v>
      </c>
      <c r="E92" t="s">
        <v>1195</v>
      </c>
      <c r="F92" t="s">
        <v>926</v>
      </c>
      <c r="G92" t="s">
        <v>535</v>
      </c>
      <c r="H92">
        <v>1989</v>
      </c>
      <c r="I92" t="s">
        <v>927</v>
      </c>
      <c r="J92">
        <v>150</v>
      </c>
      <c r="K92">
        <v>25</v>
      </c>
      <c r="L92" s="3" t="s">
        <v>1115</v>
      </c>
    </row>
    <row r="93" spans="1:12" x14ac:dyDescent="0.35">
      <c r="A93" s="22" t="s">
        <v>1119</v>
      </c>
      <c r="B93" t="s">
        <v>1115</v>
      </c>
      <c r="C93" t="s">
        <v>1080</v>
      </c>
      <c r="D93" s="2" t="str">
        <f>PROPER(Tab4_BlessuresJoueurs!A2)</f>
        <v>Rodri</v>
      </c>
      <c r="E93" s="2" t="str">
        <f>UPPER(Tab4_BlessuresJoueurs!B2)</f>
        <v>HERNÁNDEZ</v>
      </c>
      <c r="F93" t="s">
        <v>1115</v>
      </c>
      <c r="G93" t="s">
        <v>1115</v>
      </c>
      <c r="H93" t="s">
        <v>1115</v>
      </c>
      <c r="I93" t="s">
        <v>1115</v>
      </c>
      <c r="J93" t="s">
        <v>1115</v>
      </c>
      <c r="K93" t="s">
        <v>1115</v>
      </c>
      <c r="L93" s="3" t="s">
        <v>596</v>
      </c>
    </row>
    <row r="94" spans="1:12" x14ac:dyDescent="0.35">
      <c r="A94" s="22" t="s">
        <v>1119</v>
      </c>
      <c r="B94" t="s">
        <v>1115</v>
      </c>
      <c r="C94" t="s">
        <v>1080</v>
      </c>
      <c r="D94" s="2" t="str">
        <f>PROPER(Tab4_BlessuresJoueurs!A37)</f>
        <v>Rodri</v>
      </c>
      <c r="E94" s="2" t="str">
        <f>UPPER(Tab4_BlessuresJoueurs!B37)</f>
        <v>HERNÁNDEZ</v>
      </c>
      <c r="F94" t="s">
        <v>1115</v>
      </c>
      <c r="G94" t="s">
        <v>1115</v>
      </c>
      <c r="H94" t="s">
        <v>1115</v>
      </c>
      <c r="I94" t="s">
        <v>1115</v>
      </c>
      <c r="J94" t="s">
        <v>1115</v>
      </c>
      <c r="K94" t="s">
        <v>1115</v>
      </c>
      <c r="L94" s="3" t="s">
        <v>681</v>
      </c>
    </row>
    <row r="95" spans="1:12" x14ac:dyDescent="0.35">
      <c r="A95" s="27" t="s">
        <v>713</v>
      </c>
      <c r="B95" t="s">
        <v>398</v>
      </c>
      <c r="C95" t="s">
        <v>1080</v>
      </c>
      <c r="D95" t="s">
        <v>237</v>
      </c>
      <c r="E95" t="s">
        <v>1277</v>
      </c>
      <c r="F95" t="s">
        <v>923</v>
      </c>
      <c r="G95" t="s">
        <v>1366</v>
      </c>
      <c r="H95">
        <v>2003</v>
      </c>
      <c r="I95" t="s">
        <v>1115</v>
      </c>
      <c r="J95" t="s">
        <v>1115</v>
      </c>
      <c r="K95" t="s">
        <v>1115</v>
      </c>
      <c r="L95" t="s">
        <v>1115</v>
      </c>
    </row>
    <row r="96" spans="1:12" x14ac:dyDescent="0.35">
      <c r="A96" s="27" t="s">
        <v>713</v>
      </c>
      <c r="B96" t="s">
        <v>395</v>
      </c>
      <c r="C96" t="s">
        <v>1080</v>
      </c>
      <c r="D96" t="s">
        <v>251</v>
      </c>
      <c r="E96" t="s">
        <v>1274</v>
      </c>
      <c r="F96" t="s">
        <v>914</v>
      </c>
      <c r="G96" t="s">
        <v>1107</v>
      </c>
      <c r="H96">
        <v>2003</v>
      </c>
      <c r="I96" t="s">
        <v>1115</v>
      </c>
      <c r="J96" t="s">
        <v>1115</v>
      </c>
      <c r="K96" t="s">
        <v>1115</v>
      </c>
      <c r="L96" t="s">
        <v>1115</v>
      </c>
    </row>
    <row r="97" spans="1:12" x14ac:dyDescent="0.35">
      <c r="A97" s="27" t="s">
        <v>713</v>
      </c>
      <c r="B97" t="s">
        <v>478</v>
      </c>
      <c r="C97" t="s">
        <v>1080</v>
      </c>
      <c r="D97" t="s">
        <v>160</v>
      </c>
      <c r="E97" t="s">
        <v>1347</v>
      </c>
      <c r="F97" t="s">
        <v>914</v>
      </c>
      <c r="G97" t="s">
        <v>1373</v>
      </c>
      <c r="H97">
        <v>1982</v>
      </c>
      <c r="I97" t="s">
        <v>1115</v>
      </c>
      <c r="J97" t="s">
        <v>1115</v>
      </c>
      <c r="K97" t="s">
        <v>1115</v>
      </c>
      <c r="L97" t="s">
        <v>1115</v>
      </c>
    </row>
    <row r="98" spans="1:12" x14ac:dyDescent="0.35">
      <c r="A98" s="22" t="s">
        <v>1119</v>
      </c>
      <c r="B98" t="s">
        <v>1115</v>
      </c>
      <c r="C98" t="s">
        <v>1080</v>
      </c>
      <c r="D98" s="2" t="str">
        <f>PROPER(Tab4_BlessuresJoueurs!A5)</f>
        <v>Mauro</v>
      </c>
      <c r="E98" s="2" t="str">
        <f>UPPER(Tab4_BlessuresJoueurs!B5)</f>
        <v>ICARDI</v>
      </c>
      <c r="F98" t="s">
        <v>1115</v>
      </c>
      <c r="G98" t="s">
        <v>1115</v>
      </c>
      <c r="H98" t="s">
        <v>1115</v>
      </c>
      <c r="I98" t="s">
        <v>1115</v>
      </c>
      <c r="J98" t="s">
        <v>1115</v>
      </c>
      <c r="K98" t="s">
        <v>1115</v>
      </c>
      <c r="L98" s="8" t="s">
        <v>596</v>
      </c>
    </row>
    <row r="99" spans="1:12" x14ac:dyDescent="0.35">
      <c r="A99" s="22" t="s">
        <v>1119</v>
      </c>
      <c r="B99" t="s">
        <v>1115</v>
      </c>
      <c r="C99" t="s">
        <v>1080</v>
      </c>
      <c r="D99" s="2" t="str">
        <f>PROPER(Tab4_BlessuresJoueurs!A40)</f>
        <v>Mauro</v>
      </c>
      <c r="E99" s="2" t="str">
        <f>UPPER(Tab4_BlessuresJoueurs!B40)</f>
        <v>ICARDI</v>
      </c>
      <c r="F99" t="s">
        <v>1115</v>
      </c>
      <c r="G99" t="s">
        <v>1115</v>
      </c>
      <c r="H99" t="s">
        <v>1115</v>
      </c>
      <c r="I99" t="s">
        <v>1115</v>
      </c>
      <c r="J99" t="s">
        <v>1115</v>
      </c>
      <c r="K99" t="s">
        <v>1115</v>
      </c>
      <c r="L99" s="8" t="s">
        <v>671</v>
      </c>
    </row>
    <row r="100" spans="1:12" x14ac:dyDescent="0.35">
      <c r="A100" s="27" t="s">
        <v>713</v>
      </c>
      <c r="B100" t="s">
        <v>400</v>
      </c>
      <c r="C100" t="s">
        <v>1080</v>
      </c>
      <c r="D100" t="s">
        <v>152</v>
      </c>
      <c r="E100" t="s">
        <v>1279</v>
      </c>
      <c r="F100" t="s">
        <v>926</v>
      </c>
      <c r="G100" t="s">
        <v>1106</v>
      </c>
      <c r="H100">
        <v>1984</v>
      </c>
      <c r="I100" t="s">
        <v>1115</v>
      </c>
      <c r="J100" t="s">
        <v>1115</v>
      </c>
      <c r="K100" t="s">
        <v>1115</v>
      </c>
      <c r="L100" t="s">
        <v>1115</v>
      </c>
    </row>
    <row r="101" spans="1:12" x14ac:dyDescent="0.35">
      <c r="A101" s="27" t="s">
        <v>713</v>
      </c>
      <c r="B101" t="s">
        <v>440</v>
      </c>
      <c r="C101" t="s">
        <v>1080</v>
      </c>
      <c r="D101" t="s">
        <v>194</v>
      </c>
      <c r="E101" t="s">
        <v>1315</v>
      </c>
      <c r="F101" t="s">
        <v>914</v>
      </c>
      <c r="G101" t="s">
        <v>536</v>
      </c>
      <c r="H101">
        <v>1990</v>
      </c>
      <c r="I101" t="s">
        <v>1115</v>
      </c>
      <c r="J101" t="s">
        <v>1115</v>
      </c>
      <c r="K101" t="s">
        <v>1115</v>
      </c>
      <c r="L101" t="s">
        <v>1115</v>
      </c>
    </row>
    <row r="102" spans="1:12" x14ac:dyDescent="0.35">
      <c r="A102" s="27" t="s">
        <v>713</v>
      </c>
      <c r="B102" t="s">
        <v>379</v>
      </c>
      <c r="C102" t="s">
        <v>1080</v>
      </c>
      <c r="D102" t="s">
        <v>181</v>
      </c>
      <c r="E102" t="s">
        <v>1261</v>
      </c>
      <c r="F102" t="s">
        <v>914</v>
      </c>
      <c r="G102" t="s">
        <v>531</v>
      </c>
      <c r="H102">
        <v>1997</v>
      </c>
      <c r="I102" t="s">
        <v>1115</v>
      </c>
      <c r="J102" t="s">
        <v>1115</v>
      </c>
      <c r="K102" t="s">
        <v>1115</v>
      </c>
      <c r="L102" t="s">
        <v>1115</v>
      </c>
    </row>
    <row r="103" spans="1:12" x14ac:dyDescent="0.35">
      <c r="A103" s="22" t="s">
        <v>1119</v>
      </c>
      <c r="B103" t="s">
        <v>1115</v>
      </c>
      <c r="C103" t="s">
        <v>1080</v>
      </c>
      <c r="D103" s="2" t="str">
        <f>PROPER(Tab4_BlessuresJoueurs!A32)</f>
        <v>Gabriel</v>
      </c>
      <c r="E103" s="2" t="str">
        <f>UPPER(Tab4_BlessuresJoueurs!B32)</f>
        <v>JESÚS</v>
      </c>
      <c r="F103" t="s">
        <v>1115</v>
      </c>
      <c r="G103" t="s">
        <v>1115</v>
      </c>
      <c r="H103" t="s">
        <v>1115</v>
      </c>
      <c r="I103" t="s">
        <v>1115</v>
      </c>
      <c r="J103" t="s">
        <v>1115</v>
      </c>
      <c r="K103" t="s">
        <v>1115</v>
      </c>
      <c r="L103" s="3" t="s">
        <v>677</v>
      </c>
    </row>
    <row r="104" spans="1:12" x14ac:dyDescent="0.35">
      <c r="A104" s="27" t="s">
        <v>713</v>
      </c>
      <c r="B104" t="s">
        <v>441</v>
      </c>
      <c r="C104" t="s">
        <v>1080</v>
      </c>
      <c r="D104" t="s">
        <v>183</v>
      </c>
      <c r="E104" t="s">
        <v>1316</v>
      </c>
      <c r="F104" t="s">
        <v>926</v>
      </c>
      <c r="G104" t="s">
        <v>536</v>
      </c>
      <c r="H104">
        <v>1992</v>
      </c>
      <c r="I104" t="s">
        <v>1115</v>
      </c>
      <c r="J104" t="s">
        <v>1115</v>
      </c>
      <c r="K104" t="s">
        <v>1115</v>
      </c>
      <c r="L104" t="s">
        <v>1115</v>
      </c>
    </row>
    <row r="105" spans="1:12" x14ac:dyDescent="0.35">
      <c r="A105" s="27" t="s">
        <v>713</v>
      </c>
      <c r="B105" t="s">
        <v>476</v>
      </c>
      <c r="C105" t="s">
        <v>1080</v>
      </c>
      <c r="D105" t="s">
        <v>24</v>
      </c>
      <c r="E105" t="s">
        <v>1346</v>
      </c>
      <c r="F105" t="s">
        <v>914</v>
      </c>
      <c r="G105" t="s">
        <v>1372</v>
      </c>
      <c r="H105">
        <v>1995</v>
      </c>
      <c r="I105" t="s">
        <v>1115</v>
      </c>
      <c r="J105" t="s">
        <v>1115</v>
      </c>
      <c r="K105" t="s">
        <v>1115</v>
      </c>
      <c r="L105" t="s">
        <v>1115</v>
      </c>
    </row>
    <row r="106" spans="1:12" x14ac:dyDescent="0.35">
      <c r="A106" s="22" t="s">
        <v>1119</v>
      </c>
      <c r="B106" t="s">
        <v>1115</v>
      </c>
      <c r="C106" t="s">
        <v>1080</v>
      </c>
      <c r="D106" s="2" t="str">
        <f>PROPER(Tab4_BlessuresJoueurs!A18)</f>
        <v>Tino</v>
      </c>
      <c r="E106" s="2" t="str">
        <f>UPPER(Tab4_BlessuresJoueurs!B18)</f>
        <v>KADEWERE</v>
      </c>
      <c r="F106" t="s">
        <v>1115</v>
      </c>
      <c r="G106" t="s">
        <v>1115</v>
      </c>
      <c r="H106" t="s">
        <v>1115</v>
      </c>
      <c r="I106" t="s">
        <v>1115</v>
      </c>
      <c r="J106" t="s">
        <v>1115</v>
      </c>
      <c r="K106" t="s">
        <v>1115</v>
      </c>
      <c r="L106" s="3" t="s">
        <v>633</v>
      </c>
    </row>
    <row r="107" spans="1:12" x14ac:dyDescent="0.35">
      <c r="A107" s="22" t="s">
        <v>1119</v>
      </c>
      <c r="B107" t="s">
        <v>1115</v>
      </c>
      <c r="C107" t="s">
        <v>1080</v>
      </c>
      <c r="D107" s="2" t="str">
        <f>PROPER(Tab4_BlessuresJoueurs!A53)</f>
        <v>Tino</v>
      </c>
      <c r="E107" s="2" t="str">
        <f>UPPER(Tab4_BlessuresJoueurs!B53)</f>
        <v>KADEWERE</v>
      </c>
      <c r="F107" t="s">
        <v>1115</v>
      </c>
      <c r="G107" t="s">
        <v>1115</v>
      </c>
      <c r="H107" t="s">
        <v>1115</v>
      </c>
      <c r="I107" t="s">
        <v>1115</v>
      </c>
      <c r="J107" t="s">
        <v>1115</v>
      </c>
      <c r="K107" t="s">
        <v>1115</v>
      </c>
      <c r="L107" s="3" t="s">
        <v>676</v>
      </c>
    </row>
    <row r="108" spans="1:12" x14ac:dyDescent="0.35">
      <c r="A108" s="20" t="s">
        <v>1085</v>
      </c>
      <c r="B108" s="15">
        <v>13</v>
      </c>
      <c r="C108" t="s">
        <v>1080</v>
      </c>
      <c r="D108" t="s">
        <v>589</v>
      </c>
      <c r="E108" t="s">
        <v>1099</v>
      </c>
      <c r="F108" t="s">
        <v>42</v>
      </c>
      <c r="G108" t="s">
        <v>527</v>
      </c>
      <c r="H108">
        <v>1969</v>
      </c>
      <c r="I108" t="s">
        <v>1115</v>
      </c>
      <c r="J108" t="s">
        <v>1115</v>
      </c>
      <c r="K108" t="s">
        <v>1115</v>
      </c>
      <c r="L108" t="s">
        <v>1115</v>
      </c>
    </row>
    <row r="109" spans="1:12" x14ac:dyDescent="0.35">
      <c r="A109" s="27" t="s">
        <v>713</v>
      </c>
      <c r="B109" t="s">
        <v>348</v>
      </c>
      <c r="C109" t="s">
        <v>1080</v>
      </c>
      <c r="D109" t="s">
        <v>74</v>
      </c>
      <c r="E109" t="s">
        <v>1238</v>
      </c>
      <c r="F109" t="s">
        <v>914</v>
      </c>
      <c r="G109" t="s">
        <v>528</v>
      </c>
      <c r="H109">
        <v>1993</v>
      </c>
      <c r="I109" t="s">
        <v>1115</v>
      </c>
      <c r="J109" t="s">
        <v>1115</v>
      </c>
      <c r="K109" t="s">
        <v>1115</v>
      </c>
      <c r="L109" t="s">
        <v>1115</v>
      </c>
    </row>
    <row r="110" spans="1:12" x14ac:dyDescent="0.35">
      <c r="A110" s="27" t="s">
        <v>713</v>
      </c>
      <c r="B110" t="s">
        <v>420</v>
      </c>
      <c r="C110" t="s">
        <v>1080</v>
      </c>
      <c r="D110" t="s">
        <v>54</v>
      </c>
      <c r="E110" t="s">
        <v>1297</v>
      </c>
      <c r="F110" t="s">
        <v>926</v>
      </c>
      <c r="G110" t="s">
        <v>535</v>
      </c>
      <c r="H110">
        <v>1991</v>
      </c>
      <c r="I110" t="s">
        <v>1115</v>
      </c>
      <c r="J110" t="s">
        <v>1115</v>
      </c>
      <c r="K110" t="s">
        <v>1115</v>
      </c>
      <c r="L110" t="s">
        <v>1115</v>
      </c>
    </row>
    <row r="111" spans="1:12" x14ac:dyDescent="0.35">
      <c r="A111" s="25" t="s">
        <v>1122</v>
      </c>
      <c r="B111" t="s">
        <v>1115</v>
      </c>
      <c r="C111" t="s">
        <v>1221</v>
      </c>
      <c r="D111" t="s">
        <v>1179</v>
      </c>
      <c r="E111" t="s">
        <v>1215</v>
      </c>
      <c r="F111" t="s">
        <v>914</v>
      </c>
      <c r="G111" t="s">
        <v>535</v>
      </c>
      <c r="H111">
        <v>1998</v>
      </c>
      <c r="I111" t="s">
        <v>961</v>
      </c>
      <c r="J111">
        <v>100</v>
      </c>
      <c r="K111">
        <v>70</v>
      </c>
      <c r="L111" s="3" t="s">
        <v>1115</v>
      </c>
    </row>
    <row r="112" spans="1:12" x14ac:dyDescent="0.35">
      <c r="A112" s="25" t="s">
        <v>1122</v>
      </c>
      <c r="B112" t="s">
        <v>1115</v>
      </c>
      <c r="C112" t="s">
        <v>1221</v>
      </c>
      <c r="D112" t="s">
        <v>1134</v>
      </c>
      <c r="E112" t="s">
        <v>1193</v>
      </c>
      <c r="F112" t="s">
        <v>914</v>
      </c>
      <c r="G112" t="s">
        <v>1124</v>
      </c>
      <c r="H112">
        <v>1993</v>
      </c>
      <c r="I112" t="s">
        <v>921</v>
      </c>
      <c r="J112">
        <v>150</v>
      </c>
      <c r="K112">
        <v>110</v>
      </c>
      <c r="L112" s="3" t="s">
        <v>1115</v>
      </c>
    </row>
    <row r="113" spans="1:12" x14ac:dyDescent="0.35">
      <c r="A113" s="27" t="s">
        <v>713</v>
      </c>
      <c r="B113" t="s">
        <v>339</v>
      </c>
      <c r="C113" t="s">
        <v>1080</v>
      </c>
      <c r="D113" t="s">
        <v>49</v>
      </c>
      <c r="E113" t="s">
        <v>1230</v>
      </c>
      <c r="F113" t="s">
        <v>926</v>
      </c>
      <c r="G113" t="s">
        <v>527</v>
      </c>
      <c r="H113">
        <v>1995</v>
      </c>
      <c r="I113" t="s">
        <v>1115</v>
      </c>
      <c r="J113" t="s">
        <v>1115</v>
      </c>
      <c r="K113" t="s">
        <v>1115</v>
      </c>
      <c r="L113" t="s">
        <v>1115</v>
      </c>
    </row>
    <row r="114" spans="1:12" x14ac:dyDescent="0.35">
      <c r="A114" s="25" t="s">
        <v>1122</v>
      </c>
      <c r="B114" t="s">
        <v>1115</v>
      </c>
      <c r="C114" t="s">
        <v>1221</v>
      </c>
      <c r="D114" t="s">
        <v>1147</v>
      </c>
      <c r="E114" t="s">
        <v>1199</v>
      </c>
      <c r="F114" t="s">
        <v>926</v>
      </c>
      <c r="G114" t="s">
        <v>528</v>
      </c>
      <c r="H114">
        <v>1993</v>
      </c>
      <c r="I114" t="s">
        <v>921</v>
      </c>
      <c r="J114">
        <v>80</v>
      </c>
      <c r="K114">
        <v>50</v>
      </c>
      <c r="L114" s="3" t="s">
        <v>1115</v>
      </c>
    </row>
    <row r="115" spans="1:12" x14ac:dyDescent="0.35">
      <c r="A115" s="27" t="s">
        <v>713</v>
      </c>
      <c r="B115" t="s">
        <v>474</v>
      </c>
      <c r="C115" t="s">
        <v>1080</v>
      </c>
      <c r="D115" t="s">
        <v>191</v>
      </c>
      <c r="E115" t="s">
        <v>1344</v>
      </c>
      <c r="F115" t="s">
        <v>923</v>
      </c>
      <c r="G115" t="s">
        <v>1372</v>
      </c>
      <c r="H115">
        <v>1987</v>
      </c>
      <c r="I115" t="s">
        <v>1115</v>
      </c>
      <c r="J115" t="s">
        <v>1115</v>
      </c>
      <c r="K115" t="s">
        <v>1115</v>
      </c>
      <c r="L115" t="s">
        <v>1115</v>
      </c>
    </row>
    <row r="116" spans="1:12" x14ac:dyDescent="0.35">
      <c r="A116" s="27" t="s">
        <v>713</v>
      </c>
      <c r="B116" t="s">
        <v>429</v>
      </c>
      <c r="C116" t="s">
        <v>1080</v>
      </c>
      <c r="D116" t="s">
        <v>216</v>
      </c>
      <c r="E116" t="s">
        <v>1305</v>
      </c>
      <c r="F116" t="s">
        <v>923</v>
      </c>
      <c r="G116" t="s">
        <v>535</v>
      </c>
      <c r="H116">
        <v>2000</v>
      </c>
      <c r="I116" t="s">
        <v>1115</v>
      </c>
      <c r="J116" t="s">
        <v>1115</v>
      </c>
      <c r="K116" t="s">
        <v>1115</v>
      </c>
      <c r="L116" t="s">
        <v>1115</v>
      </c>
    </row>
    <row r="117" spans="1:12" x14ac:dyDescent="0.35">
      <c r="A117" s="27" t="s">
        <v>713</v>
      </c>
      <c r="B117" t="s">
        <v>336</v>
      </c>
      <c r="C117" t="s">
        <v>1080</v>
      </c>
      <c r="D117" t="s">
        <v>174</v>
      </c>
      <c r="E117" t="s">
        <v>1228</v>
      </c>
      <c r="F117" t="s">
        <v>926</v>
      </c>
      <c r="G117" t="s">
        <v>527</v>
      </c>
      <c r="H117">
        <v>1990</v>
      </c>
      <c r="I117" t="s">
        <v>1115</v>
      </c>
      <c r="J117" t="s">
        <v>1115</v>
      </c>
      <c r="K117" t="s">
        <v>1115</v>
      </c>
      <c r="L117" t="s">
        <v>1115</v>
      </c>
    </row>
    <row r="118" spans="1:12" x14ac:dyDescent="0.35">
      <c r="A118" s="27" t="s">
        <v>713</v>
      </c>
      <c r="B118" t="s">
        <v>479</v>
      </c>
      <c r="C118" t="s">
        <v>1080</v>
      </c>
      <c r="D118" t="s">
        <v>218</v>
      </c>
      <c r="E118" t="s">
        <v>1348</v>
      </c>
      <c r="F118" t="s">
        <v>914</v>
      </c>
      <c r="G118" t="s">
        <v>1373</v>
      </c>
      <c r="H118">
        <v>1999</v>
      </c>
      <c r="I118" t="s">
        <v>1115</v>
      </c>
      <c r="J118" t="s">
        <v>1115</v>
      </c>
      <c r="K118" t="s">
        <v>1115</v>
      </c>
      <c r="L118" t="s">
        <v>1115</v>
      </c>
    </row>
    <row r="119" spans="1:12" x14ac:dyDescent="0.35">
      <c r="A119" s="25" t="s">
        <v>1122</v>
      </c>
      <c r="B119" t="s">
        <v>1115</v>
      </c>
      <c r="C119" t="s">
        <v>1221</v>
      </c>
      <c r="D119" t="s">
        <v>1167</v>
      </c>
      <c r="E119" t="s">
        <v>1209</v>
      </c>
      <c r="F119" t="s">
        <v>923</v>
      </c>
      <c r="G119" t="s">
        <v>1127</v>
      </c>
      <c r="H119">
        <v>1990</v>
      </c>
      <c r="I119" t="s">
        <v>949</v>
      </c>
      <c r="J119">
        <v>120</v>
      </c>
      <c r="K119">
        <v>10</v>
      </c>
      <c r="L119" s="3" t="s">
        <v>1115</v>
      </c>
    </row>
    <row r="120" spans="1:12" x14ac:dyDescent="0.35">
      <c r="A120" s="22" t="s">
        <v>1119</v>
      </c>
      <c r="B120" t="s">
        <v>1115</v>
      </c>
      <c r="C120" t="s">
        <v>1080</v>
      </c>
      <c r="D120" s="2" t="str">
        <f>PROPER(Tab4_BlessuresJoueurs!A22)</f>
        <v>Daler</v>
      </c>
      <c r="E120" s="2" t="str">
        <f>UPPER(Tab4_BlessuresJoueurs!B22)</f>
        <v>KUZYAEV</v>
      </c>
      <c r="F120" t="s">
        <v>1115</v>
      </c>
      <c r="G120" t="s">
        <v>1115</v>
      </c>
      <c r="H120" t="s">
        <v>1115</v>
      </c>
      <c r="I120" t="s">
        <v>1115</v>
      </c>
      <c r="J120" t="s">
        <v>1115</v>
      </c>
      <c r="K120" t="s">
        <v>1115</v>
      </c>
      <c r="L120" s="3" t="s">
        <v>644</v>
      </c>
    </row>
    <row r="121" spans="1:12" x14ac:dyDescent="0.35">
      <c r="A121" s="27" t="s">
        <v>713</v>
      </c>
      <c r="B121" t="s">
        <v>434</v>
      </c>
      <c r="C121" t="s">
        <v>1080</v>
      </c>
      <c r="D121" t="s">
        <v>280</v>
      </c>
      <c r="E121" t="s">
        <v>1309</v>
      </c>
      <c r="F121" t="s">
        <v>914</v>
      </c>
      <c r="G121" t="s">
        <v>1368</v>
      </c>
      <c r="H121">
        <v>2001</v>
      </c>
      <c r="I121" t="s">
        <v>1115</v>
      </c>
      <c r="J121" t="s">
        <v>1115</v>
      </c>
      <c r="K121" t="s">
        <v>1115</v>
      </c>
      <c r="L121" t="s">
        <v>1115</v>
      </c>
    </row>
    <row r="122" spans="1:12" x14ac:dyDescent="0.35">
      <c r="A122" s="22" t="s">
        <v>1119</v>
      </c>
      <c r="B122" t="s">
        <v>1115</v>
      </c>
      <c r="C122" t="s">
        <v>1080</v>
      </c>
      <c r="D122" s="2" t="str">
        <f>PROPER(Tab4_BlessuresJoueurs!A28)</f>
        <v>Rémy</v>
      </c>
      <c r="E122" s="2" t="str">
        <f>UPPER(Tab4_BlessuresJoueurs!B28)</f>
        <v>LABEAU LASCARY</v>
      </c>
      <c r="F122" t="s">
        <v>1115</v>
      </c>
      <c r="G122" t="s">
        <v>1115</v>
      </c>
      <c r="H122" t="s">
        <v>1115</v>
      </c>
      <c r="I122" t="s">
        <v>1115</v>
      </c>
      <c r="J122" t="s">
        <v>1115</v>
      </c>
      <c r="K122" t="s">
        <v>1115</v>
      </c>
      <c r="L122" s="3" t="s">
        <v>614</v>
      </c>
    </row>
    <row r="123" spans="1:12" x14ac:dyDescent="0.35">
      <c r="A123" s="27" t="s">
        <v>713</v>
      </c>
      <c r="B123" t="s">
        <v>345</v>
      </c>
      <c r="C123" t="s">
        <v>1080</v>
      </c>
      <c r="D123" t="s">
        <v>172</v>
      </c>
      <c r="E123" t="s">
        <v>1236</v>
      </c>
      <c r="F123" t="s">
        <v>926</v>
      </c>
      <c r="G123" t="s">
        <v>528</v>
      </c>
      <c r="H123">
        <v>1978</v>
      </c>
      <c r="I123" t="s">
        <v>1115</v>
      </c>
      <c r="J123" t="s">
        <v>1115</v>
      </c>
      <c r="K123" t="s">
        <v>1115</v>
      </c>
      <c r="L123" t="s">
        <v>1115</v>
      </c>
    </row>
    <row r="124" spans="1:12" x14ac:dyDescent="0.35">
      <c r="A124" s="27" t="s">
        <v>713</v>
      </c>
      <c r="B124" t="s">
        <v>405</v>
      </c>
      <c r="C124" t="s">
        <v>1080</v>
      </c>
      <c r="D124" t="s">
        <v>140</v>
      </c>
      <c r="E124" t="s">
        <v>1284</v>
      </c>
      <c r="F124" t="s">
        <v>923</v>
      </c>
      <c r="G124" t="s">
        <v>1106</v>
      </c>
      <c r="H124">
        <v>1994</v>
      </c>
      <c r="I124" t="s">
        <v>1115</v>
      </c>
      <c r="J124" t="s">
        <v>1115</v>
      </c>
      <c r="K124" t="s">
        <v>1115</v>
      </c>
      <c r="L124" t="s">
        <v>1115</v>
      </c>
    </row>
    <row r="125" spans="1:12" x14ac:dyDescent="0.35">
      <c r="A125" s="27" t="s">
        <v>713</v>
      </c>
      <c r="B125" t="s">
        <v>362</v>
      </c>
      <c r="C125" t="s">
        <v>1080</v>
      </c>
      <c r="D125" t="s">
        <v>107</v>
      </c>
      <c r="E125" t="s">
        <v>1248</v>
      </c>
      <c r="F125" t="s">
        <v>914</v>
      </c>
      <c r="G125" t="s">
        <v>529</v>
      </c>
      <c r="H125">
        <v>1998</v>
      </c>
      <c r="I125" t="s">
        <v>1115</v>
      </c>
      <c r="J125" t="s">
        <v>1115</v>
      </c>
      <c r="K125" t="s">
        <v>1115</v>
      </c>
      <c r="L125" t="s">
        <v>1115</v>
      </c>
    </row>
    <row r="126" spans="1:12" x14ac:dyDescent="0.35">
      <c r="A126" s="25" t="s">
        <v>1122</v>
      </c>
      <c r="B126" t="s">
        <v>1115</v>
      </c>
      <c r="C126" t="s">
        <v>1221</v>
      </c>
      <c r="D126" t="s">
        <v>1161</v>
      </c>
      <c r="E126" t="s">
        <v>1206</v>
      </c>
      <c r="F126" t="s">
        <v>926</v>
      </c>
      <c r="G126" t="s">
        <v>913</v>
      </c>
      <c r="H126">
        <v>1995</v>
      </c>
      <c r="I126" t="s">
        <v>918</v>
      </c>
      <c r="J126">
        <v>95</v>
      </c>
      <c r="K126">
        <v>25</v>
      </c>
      <c r="L126" s="3" t="s">
        <v>1115</v>
      </c>
    </row>
    <row r="127" spans="1:12" x14ac:dyDescent="0.35">
      <c r="A127" s="27" t="s">
        <v>713</v>
      </c>
      <c r="B127" t="s">
        <v>371</v>
      </c>
      <c r="C127" t="s">
        <v>1080</v>
      </c>
      <c r="D127" t="s">
        <v>294</v>
      </c>
      <c r="E127" t="s">
        <v>1255</v>
      </c>
      <c r="F127" t="s">
        <v>926</v>
      </c>
      <c r="G127" t="s">
        <v>530</v>
      </c>
      <c r="H127">
        <v>2003</v>
      </c>
      <c r="I127" t="s">
        <v>1115</v>
      </c>
      <c r="J127" t="s">
        <v>1115</v>
      </c>
      <c r="K127" t="s">
        <v>1115</v>
      </c>
      <c r="L127" t="s">
        <v>1115</v>
      </c>
    </row>
    <row r="128" spans="1:12" x14ac:dyDescent="0.35">
      <c r="A128" s="27" t="s">
        <v>713</v>
      </c>
      <c r="B128" t="s">
        <v>470</v>
      </c>
      <c r="C128" t="s">
        <v>1080</v>
      </c>
      <c r="D128" t="s">
        <v>283</v>
      </c>
      <c r="E128" t="s">
        <v>1341</v>
      </c>
      <c r="F128" t="s">
        <v>914</v>
      </c>
      <c r="G128" t="s">
        <v>1086</v>
      </c>
      <c r="H128">
        <v>2000</v>
      </c>
      <c r="I128" t="s">
        <v>1115</v>
      </c>
      <c r="J128" t="s">
        <v>1115</v>
      </c>
      <c r="K128" t="s">
        <v>1115</v>
      </c>
      <c r="L128" t="s">
        <v>1115</v>
      </c>
    </row>
    <row r="129" spans="1:12" x14ac:dyDescent="0.35">
      <c r="A129" s="27" t="s">
        <v>713</v>
      </c>
      <c r="B129" t="s">
        <v>463</v>
      </c>
      <c r="C129" t="s">
        <v>1080</v>
      </c>
      <c r="D129" t="s">
        <v>19</v>
      </c>
      <c r="E129" t="s">
        <v>1336</v>
      </c>
      <c r="F129" t="s">
        <v>914</v>
      </c>
      <c r="G129" t="s">
        <v>538</v>
      </c>
      <c r="H129">
        <v>1988</v>
      </c>
      <c r="I129" t="s">
        <v>1115</v>
      </c>
      <c r="J129" t="s">
        <v>1115</v>
      </c>
      <c r="K129" t="s">
        <v>1115</v>
      </c>
      <c r="L129" t="s">
        <v>1115</v>
      </c>
    </row>
    <row r="130" spans="1:12" x14ac:dyDescent="0.35">
      <c r="A130" s="19" t="s">
        <v>878</v>
      </c>
      <c r="B130" t="s">
        <v>553</v>
      </c>
      <c r="C130" t="s">
        <v>1080</v>
      </c>
      <c r="D130" t="s">
        <v>248</v>
      </c>
      <c r="E130" t="s">
        <v>518</v>
      </c>
      <c r="F130" t="s">
        <v>487</v>
      </c>
      <c r="G130" t="s">
        <v>534</v>
      </c>
      <c r="H130" t="s">
        <v>1115</v>
      </c>
      <c r="I130" t="s">
        <v>1115</v>
      </c>
      <c r="J130" t="s">
        <v>1115</v>
      </c>
      <c r="K130" t="s">
        <v>1115</v>
      </c>
      <c r="L130" t="s">
        <v>1115</v>
      </c>
    </row>
    <row r="131" spans="1:12" x14ac:dyDescent="0.35">
      <c r="A131" s="27" t="s">
        <v>713</v>
      </c>
      <c r="B131" t="s">
        <v>393</v>
      </c>
      <c r="C131" t="s">
        <v>1080</v>
      </c>
      <c r="D131" t="s">
        <v>248</v>
      </c>
      <c r="E131" t="s">
        <v>518</v>
      </c>
      <c r="F131" t="s">
        <v>487</v>
      </c>
      <c r="G131" t="s">
        <v>534</v>
      </c>
      <c r="H131">
        <v>1995</v>
      </c>
      <c r="I131" t="s">
        <v>1115</v>
      </c>
      <c r="J131" t="s">
        <v>1115</v>
      </c>
      <c r="K131" t="s">
        <v>1115</v>
      </c>
      <c r="L131" t="s">
        <v>1115</v>
      </c>
    </row>
    <row r="132" spans="1:12" x14ac:dyDescent="0.35">
      <c r="A132" s="19" t="s">
        <v>878</v>
      </c>
      <c r="B132" t="s">
        <v>554</v>
      </c>
      <c r="C132" t="s">
        <v>1080</v>
      </c>
      <c r="D132" t="s">
        <v>134</v>
      </c>
      <c r="E132" t="s">
        <v>519</v>
      </c>
      <c r="F132" t="s">
        <v>487</v>
      </c>
      <c r="G132" t="s">
        <v>535</v>
      </c>
      <c r="H132" t="s">
        <v>1115</v>
      </c>
      <c r="I132" t="s">
        <v>1115</v>
      </c>
      <c r="J132" t="s">
        <v>1115</v>
      </c>
      <c r="K132" t="s">
        <v>1115</v>
      </c>
      <c r="L132" t="s">
        <v>1115</v>
      </c>
    </row>
    <row r="133" spans="1:12" x14ac:dyDescent="0.35">
      <c r="A133" s="27" t="s">
        <v>713</v>
      </c>
      <c r="B133" t="s">
        <v>417</v>
      </c>
      <c r="C133" t="s">
        <v>1080</v>
      </c>
      <c r="D133" t="s">
        <v>134</v>
      </c>
      <c r="E133" t="s">
        <v>519</v>
      </c>
      <c r="F133" t="s">
        <v>487</v>
      </c>
      <c r="G133" t="s">
        <v>535</v>
      </c>
      <c r="H133">
        <v>1987</v>
      </c>
      <c r="I133" t="s">
        <v>1115</v>
      </c>
      <c r="J133" t="s">
        <v>1115</v>
      </c>
      <c r="K133" t="s">
        <v>1115</v>
      </c>
      <c r="L133" t="s">
        <v>1115</v>
      </c>
    </row>
    <row r="134" spans="1:12" x14ac:dyDescent="0.35">
      <c r="A134" s="25" t="s">
        <v>1122</v>
      </c>
      <c r="B134" t="s">
        <v>1115</v>
      </c>
      <c r="C134" t="s">
        <v>1221</v>
      </c>
      <c r="D134" t="s">
        <v>1157</v>
      </c>
      <c r="E134" t="s">
        <v>1204</v>
      </c>
      <c r="F134" t="s">
        <v>926</v>
      </c>
      <c r="G134" t="s">
        <v>913</v>
      </c>
      <c r="H134">
        <v>1982</v>
      </c>
      <c r="I134" t="s">
        <v>943</v>
      </c>
      <c r="J134">
        <v>310</v>
      </c>
      <c r="K134">
        <v>130</v>
      </c>
      <c r="L134" s="3" t="s">
        <v>1115</v>
      </c>
    </row>
    <row r="135" spans="1:12" x14ac:dyDescent="0.35">
      <c r="A135" s="22" t="s">
        <v>1119</v>
      </c>
      <c r="B135" t="s">
        <v>1115</v>
      </c>
      <c r="C135" t="s">
        <v>1080</v>
      </c>
      <c r="D135" s="2" t="str">
        <f>PROPER(Tab4_BlessuresJoueurs!A15)</f>
        <v>Elysée</v>
      </c>
      <c r="E135" s="2" t="str">
        <f>UPPER(Tab4_BlessuresJoueurs!B15)</f>
        <v>LOGBO</v>
      </c>
      <c r="F135" t="s">
        <v>1115</v>
      </c>
      <c r="G135" t="s">
        <v>1115</v>
      </c>
      <c r="H135" t="s">
        <v>1115</v>
      </c>
      <c r="I135" t="s">
        <v>1115</v>
      </c>
      <c r="J135" t="s">
        <v>1115</v>
      </c>
      <c r="K135" t="s">
        <v>1115</v>
      </c>
      <c r="L135" s="3" t="s">
        <v>625</v>
      </c>
    </row>
    <row r="136" spans="1:12" x14ac:dyDescent="0.35">
      <c r="A136" s="22" t="s">
        <v>1119</v>
      </c>
      <c r="B136" t="s">
        <v>1115</v>
      </c>
      <c r="C136" t="s">
        <v>1080</v>
      </c>
      <c r="D136" s="2" t="str">
        <f>PROPER(Tab4_BlessuresJoueurs!A50)</f>
        <v>Elysée</v>
      </c>
      <c r="E136" s="2" t="str">
        <f>UPPER(Tab4_BlessuresJoueurs!B50)</f>
        <v>LOGBO</v>
      </c>
      <c r="F136" t="s">
        <v>1115</v>
      </c>
      <c r="G136" t="s">
        <v>1115</v>
      </c>
      <c r="H136" t="s">
        <v>1115</v>
      </c>
      <c r="I136" t="s">
        <v>1115</v>
      </c>
      <c r="J136" t="s">
        <v>1115</v>
      </c>
      <c r="K136" t="s">
        <v>1115</v>
      </c>
      <c r="L136" s="3" t="s">
        <v>674</v>
      </c>
    </row>
    <row r="137" spans="1:12" x14ac:dyDescent="0.35">
      <c r="A137" s="27" t="s">
        <v>713</v>
      </c>
      <c r="B137" t="s">
        <v>370</v>
      </c>
      <c r="C137" t="s">
        <v>1080</v>
      </c>
      <c r="D137" t="s">
        <v>90</v>
      </c>
      <c r="E137" t="s">
        <v>1254</v>
      </c>
      <c r="F137" t="s">
        <v>914</v>
      </c>
      <c r="G137" t="s">
        <v>530</v>
      </c>
      <c r="H137">
        <v>1993</v>
      </c>
      <c r="I137" t="s">
        <v>1115</v>
      </c>
      <c r="J137" t="s">
        <v>1115</v>
      </c>
      <c r="K137" t="s">
        <v>1115</v>
      </c>
      <c r="L137" t="s">
        <v>1115</v>
      </c>
    </row>
    <row r="138" spans="1:12" x14ac:dyDescent="0.35">
      <c r="A138" s="22" t="s">
        <v>1119</v>
      </c>
      <c r="B138" t="s">
        <v>1115</v>
      </c>
      <c r="C138" t="s">
        <v>1080</v>
      </c>
      <c r="D138" s="2" t="str">
        <f>PROPER(Tab4_BlessuresJoueurs!A25)</f>
        <v>Yvann</v>
      </c>
      <c r="E138" s="2" t="str">
        <f>UPPER(Tab4_BlessuresJoueurs!B25)</f>
        <v>MAÇON</v>
      </c>
      <c r="F138" t="s">
        <v>1115</v>
      </c>
      <c r="G138" t="s">
        <v>1115</v>
      </c>
      <c r="H138" t="s">
        <v>1115</v>
      </c>
      <c r="I138" t="s">
        <v>1115</v>
      </c>
      <c r="J138" t="s">
        <v>1115</v>
      </c>
      <c r="K138" t="s">
        <v>1115</v>
      </c>
      <c r="L138" s="3" t="s">
        <v>652</v>
      </c>
    </row>
    <row r="139" spans="1:12" x14ac:dyDescent="0.35">
      <c r="A139" s="27" t="s">
        <v>713</v>
      </c>
      <c r="B139" t="s">
        <v>331</v>
      </c>
      <c r="C139" t="s">
        <v>1080</v>
      </c>
      <c r="D139" t="s">
        <v>199</v>
      </c>
      <c r="E139" t="s">
        <v>1224</v>
      </c>
      <c r="F139" t="s">
        <v>926</v>
      </c>
      <c r="G139" t="s">
        <v>1359</v>
      </c>
      <c r="H139">
        <v>1991</v>
      </c>
      <c r="I139" t="s">
        <v>1115</v>
      </c>
      <c r="J139" t="s">
        <v>1115</v>
      </c>
      <c r="K139" t="s">
        <v>1115</v>
      </c>
      <c r="L139" t="s">
        <v>1115</v>
      </c>
    </row>
    <row r="140" spans="1:12" x14ac:dyDescent="0.35">
      <c r="A140" s="19" t="s">
        <v>878</v>
      </c>
      <c r="B140" t="s">
        <v>555</v>
      </c>
      <c r="C140" t="s">
        <v>1080</v>
      </c>
      <c r="D140" t="s">
        <v>129</v>
      </c>
      <c r="E140" t="s">
        <v>520</v>
      </c>
      <c r="F140" t="s">
        <v>487</v>
      </c>
      <c r="G140" t="s">
        <v>535</v>
      </c>
      <c r="H140" t="s">
        <v>1115</v>
      </c>
      <c r="I140" t="s">
        <v>1115</v>
      </c>
      <c r="J140" t="s">
        <v>1115</v>
      </c>
      <c r="K140" t="s">
        <v>1115</v>
      </c>
      <c r="L140" t="s">
        <v>1115</v>
      </c>
    </row>
    <row r="141" spans="1:12" x14ac:dyDescent="0.35">
      <c r="A141" s="27" t="s">
        <v>713</v>
      </c>
      <c r="B141" t="s">
        <v>424</v>
      </c>
      <c r="C141" t="s">
        <v>1080</v>
      </c>
      <c r="D141" t="s">
        <v>129</v>
      </c>
      <c r="E141" t="s">
        <v>520</v>
      </c>
      <c r="F141" t="s">
        <v>487</v>
      </c>
      <c r="G141" t="s">
        <v>535</v>
      </c>
      <c r="H141">
        <v>1996</v>
      </c>
      <c r="I141" t="s">
        <v>1115</v>
      </c>
      <c r="J141" t="s">
        <v>1115</v>
      </c>
      <c r="K141" t="s">
        <v>1115</v>
      </c>
      <c r="L141" t="s">
        <v>1115</v>
      </c>
    </row>
    <row r="142" spans="1:12" x14ac:dyDescent="0.35">
      <c r="A142" s="22" t="s">
        <v>1119</v>
      </c>
      <c r="B142" t="s">
        <v>1115</v>
      </c>
      <c r="C142" t="s">
        <v>1080</v>
      </c>
      <c r="D142" s="2" t="str">
        <f>PROPER(Tab4_BlessuresJoueurs!A29)</f>
        <v>Nikola</v>
      </c>
      <c r="E142" s="2" t="str">
        <f>UPPER(Tab4_BlessuresJoueurs!B29)</f>
        <v>MAKSIMOVIĆ</v>
      </c>
      <c r="F142" t="s">
        <v>1115</v>
      </c>
      <c r="G142" t="s">
        <v>1115</v>
      </c>
      <c r="H142" t="s">
        <v>1115</v>
      </c>
      <c r="I142" t="s">
        <v>1115</v>
      </c>
      <c r="J142" t="s">
        <v>1115</v>
      </c>
      <c r="K142" t="s">
        <v>1115</v>
      </c>
      <c r="L142" s="3" t="s">
        <v>660</v>
      </c>
    </row>
    <row r="143" spans="1:12" x14ac:dyDescent="0.35">
      <c r="A143" s="20" t="s">
        <v>1085</v>
      </c>
      <c r="B143" s="15">
        <v>10</v>
      </c>
      <c r="C143" t="s">
        <v>1080</v>
      </c>
      <c r="D143" t="s">
        <v>565</v>
      </c>
      <c r="E143" t="s">
        <v>1096</v>
      </c>
      <c r="F143" t="s">
        <v>7</v>
      </c>
      <c r="G143" t="s">
        <v>529</v>
      </c>
      <c r="H143">
        <v>1960</v>
      </c>
      <c r="I143" t="s">
        <v>1115</v>
      </c>
      <c r="J143" t="s">
        <v>1115</v>
      </c>
      <c r="K143" t="s">
        <v>1115</v>
      </c>
      <c r="L143" t="s">
        <v>1115</v>
      </c>
    </row>
    <row r="144" spans="1:12" x14ac:dyDescent="0.35">
      <c r="A144" s="25" t="s">
        <v>1122</v>
      </c>
      <c r="B144" t="s">
        <v>1115</v>
      </c>
      <c r="C144" t="s">
        <v>1221</v>
      </c>
      <c r="D144" t="s">
        <v>1151</v>
      </c>
      <c r="E144" t="s">
        <v>1201</v>
      </c>
      <c r="F144" t="s">
        <v>926</v>
      </c>
      <c r="G144" t="s">
        <v>527</v>
      </c>
      <c r="H144">
        <v>1992</v>
      </c>
      <c r="I144" t="s">
        <v>918</v>
      </c>
      <c r="J144">
        <v>115</v>
      </c>
      <c r="K144">
        <v>30</v>
      </c>
      <c r="L144" s="3" t="s">
        <v>1115</v>
      </c>
    </row>
    <row r="145" spans="1:12" x14ac:dyDescent="0.35">
      <c r="A145" s="27" t="s">
        <v>713</v>
      </c>
      <c r="B145" t="s">
        <v>378</v>
      </c>
      <c r="C145" t="s">
        <v>1080</v>
      </c>
      <c r="D145" t="s">
        <v>147</v>
      </c>
      <c r="E145" t="s">
        <v>1260</v>
      </c>
      <c r="F145" t="s">
        <v>923</v>
      </c>
      <c r="G145" t="s">
        <v>531</v>
      </c>
      <c r="H145">
        <v>1995</v>
      </c>
      <c r="I145" t="s">
        <v>1115</v>
      </c>
      <c r="J145" t="s">
        <v>1115</v>
      </c>
      <c r="K145" t="s">
        <v>1115</v>
      </c>
      <c r="L145" t="s">
        <v>1115</v>
      </c>
    </row>
    <row r="146" spans="1:12" x14ac:dyDescent="0.35">
      <c r="A146" s="25" t="s">
        <v>1122</v>
      </c>
      <c r="B146" t="s">
        <v>1115</v>
      </c>
      <c r="C146" t="s">
        <v>1221</v>
      </c>
      <c r="D146" t="s">
        <v>1165</v>
      </c>
      <c r="E146" t="s">
        <v>1208</v>
      </c>
      <c r="F146" t="s">
        <v>926</v>
      </c>
      <c r="G146" t="s">
        <v>1105</v>
      </c>
      <c r="H146">
        <v>1993</v>
      </c>
      <c r="I146" t="s">
        <v>924</v>
      </c>
      <c r="J146">
        <v>115</v>
      </c>
      <c r="K146">
        <v>60</v>
      </c>
      <c r="L146" s="3" t="s">
        <v>1115</v>
      </c>
    </row>
    <row r="147" spans="1:12" x14ac:dyDescent="0.35">
      <c r="A147" s="19" t="s">
        <v>878</v>
      </c>
      <c r="B147" t="s">
        <v>547</v>
      </c>
      <c r="C147" t="s">
        <v>1080</v>
      </c>
      <c r="D147" t="s">
        <v>323</v>
      </c>
      <c r="E147" t="s">
        <v>512</v>
      </c>
      <c r="F147" t="s">
        <v>487</v>
      </c>
      <c r="G147" t="s">
        <v>529</v>
      </c>
      <c r="H147" t="s">
        <v>1115</v>
      </c>
      <c r="I147" t="s">
        <v>1115</v>
      </c>
      <c r="J147" t="s">
        <v>1115</v>
      </c>
      <c r="K147" t="s">
        <v>1115</v>
      </c>
      <c r="L147" t="s">
        <v>1115</v>
      </c>
    </row>
    <row r="148" spans="1:12" x14ac:dyDescent="0.35">
      <c r="A148" s="27" t="s">
        <v>713</v>
      </c>
      <c r="B148" t="s">
        <v>360</v>
      </c>
      <c r="C148" t="s">
        <v>1080</v>
      </c>
      <c r="D148" t="s">
        <v>323</v>
      </c>
      <c r="E148" t="s">
        <v>512</v>
      </c>
      <c r="F148" t="s">
        <v>487</v>
      </c>
      <c r="G148" t="s">
        <v>529</v>
      </c>
      <c r="H148">
        <v>1993</v>
      </c>
      <c r="I148" t="s">
        <v>1115</v>
      </c>
      <c r="J148" t="s">
        <v>1115</v>
      </c>
      <c r="K148" t="s">
        <v>1115</v>
      </c>
      <c r="L148" t="s">
        <v>1115</v>
      </c>
    </row>
    <row r="149" spans="1:12" x14ac:dyDescent="0.35">
      <c r="A149" s="27" t="s">
        <v>713</v>
      </c>
      <c r="B149" t="s">
        <v>363</v>
      </c>
      <c r="C149" t="s">
        <v>1080</v>
      </c>
      <c r="D149" t="s">
        <v>108</v>
      </c>
      <c r="E149" t="s">
        <v>512</v>
      </c>
      <c r="F149" t="s">
        <v>914</v>
      </c>
      <c r="G149" t="s">
        <v>529</v>
      </c>
      <c r="H149">
        <v>1998</v>
      </c>
      <c r="I149" t="s">
        <v>1115</v>
      </c>
      <c r="J149" t="s">
        <v>1115</v>
      </c>
      <c r="K149" t="s">
        <v>1115</v>
      </c>
      <c r="L149" t="s">
        <v>1115</v>
      </c>
    </row>
    <row r="150" spans="1:12" x14ac:dyDescent="0.35">
      <c r="A150" s="27" t="s">
        <v>713</v>
      </c>
      <c r="B150" t="s">
        <v>427</v>
      </c>
      <c r="C150" t="s">
        <v>1080</v>
      </c>
      <c r="D150" t="s">
        <v>16</v>
      </c>
      <c r="E150" t="s">
        <v>1303</v>
      </c>
      <c r="F150" t="s">
        <v>914</v>
      </c>
      <c r="G150" t="s">
        <v>535</v>
      </c>
      <c r="H150">
        <v>1999</v>
      </c>
      <c r="I150" t="s">
        <v>1115</v>
      </c>
      <c r="J150" t="s">
        <v>1115</v>
      </c>
      <c r="K150" t="s">
        <v>1115</v>
      </c>
      <c r="L150" t="s">
        <v>1115</v>
      </c>
    </row>
    <row r="151" spans="1:12" x14ac:dyDescent="0.35">
      <c r="A151" s="25" t="s">
        <v>1122</v>
      </c>
      <c r="B151" t="s">
        <v>1115</v>
      </c>
      <c r="C151" t="s">
        <v>1221</v>
      </c>
      <c r="D151" t="s">
        <v>1186</v>
      </c>
      <c r="E151" t="s">
        <v>1219</v>
      </c>
      <c r="F151" t="s">
        <v>917</v>
      </c>
      <c r="G151" t="s">
        <v>528</v>
      </c>
      <c r="H151">
        <v>1995</v>
      </c>
      <c r="I151" t="s">
        <v>934</v>
      </c>
      <c r="J151">
        <v>140</v>
      </c>
      <c r="K151">
        <v>50</v>
      </c>
      <c r="L151" s="3" t="s">
        <v>1115</v>
      </c>
    </row>
    <row r="152" spans="1:12" x14ac:dyDescent="0.35">
      <c r="A152" s="27" t="s">
        <v>713</v>
      </c>
      <c r="B152" t="s">
        <v>365</v>
      </c>
      <c r="C152" t="s">
        <v>1080</v>
      </c>
      <c r="D152" t="s">
        <v>286</v>
      </c>
      <c r="E152" t="s">
        <v>1250</v>
      </c>
      <c r="F152" t="s">
        <v>923</v>
      </c>
      <c r="G152" t="s">
        <v>529</v>
      </c>
      <c r="H152">
        <v>2003</v>
      </c>
      <c r="I152" t="s">
        <v>1115</v>
      </c>
      <c r="J152" t="s">
        <v>1115</v>
      </c>
      <c r="K152" t="s">
        <v>1115</v>
      </c>
      <c r="L152" t="s">
        <v>1115</v>
      </c>
    </row>
    <row r="153" spans="1:12" x14ac:dyDescent="0.35">
      <c r="A153" s="20" t="s">
        <v>1085</v>
      </c>
      <c r="B153" s="15">
        <v>20</v>
      </c>
      <c r="C153" t="s">
        <v>1080</v>
      </c>
      <c r="D153" t="s">
        <v>6</v>
      </c>
      <c r="E153" t="s">
        <v>1104</v>
      </c>
      <c r="F153" t="s">
        <v>7</v>
      </c>
      <c r="G153" t="s">
        <v>529</v>
      </c>
      <c r="H153">
        <v>1987</v>
      </c>
      <c r="I153" t="s">
        <v>1115</v>
      </c>
      <c r="J153" t="s">
        <v>1115</v>
      </c>
      <c r="K153" t="s">
        <v>1115</v>
      </c>
      <c r="L153" t="s">
        <v>1115</v>
      </c>
    </row>
    <row r="154" spans="1:12" x14ac:dyDescent="0.35">
      <c r="A154" s="27" t="s">
        <v>713</v>
      </c>
      <c r="B154" t="s">
        <v>358</v>
      </c>
      <c r="C154" t="s">
        <v>1080</v>
      </c>
      <c r="D154" t="s">
        <v>6</v>
      </c>
      <c r="E154" t="s">
        <v>1104</v>
      </c>
      <c r="F154" t="s">
        <v>914</v>
      </c>
      <c r="G154" t="s">
        <v>529</v>
      </c>
      <c r="H154">
        <v>1987</v>
      </c>
      <c r="I154" t="s">
        <v>1115</v>
      </c>
      <c r="J154" t="s">
        <v>1115</v>
      </c>
      <c r="K154" t="s">
        <v>1115</v>
      </c>
      <c r="L154" t="s">
        <v>1115</v>
      </c>
    </row>
    <row r="155" spans="1:12" x14ac:dyDescent="0.35">
      <c r="A155" s="25" t="s">
        <v>1122</v>
      </c>
      <c r="B155" t="s">
        <v>1115</v>
      </c>
      <c r="C155" t="s">
        <v>1221</v>
      </c>
      <c r="D155" t="s">
        <v>1134</v>
      </c>
      <c r="E155" t="s">
        <v>1218</v>
      </c>
      <c r="F155" t="s">
        <v>926</v>
      </c>
      <c r="G155" t="s">
        <v>913</v>
      </c>
      <c r="H155">
        <v>1992</v>
      </c>
      <c r="I155" t="s">
        <v>965</v>
      </c>
      <c r="J155">
        <v>85</v>
      </c>
      <c r="K155">
        <v>30</v>
      </c>
      <c r="L155" s="3" t="s">
        <v>1115</v>
      </c>
    </row>
    <row r="156" spans="1:12" x14ac:dyDescent="0.35">
      <c r="A156" s="25" t="s">
        <v>1122</v>
      </c>
      <c r="B156" t="s">
        <v>1115</v>
      </c>
      <c r="C156" t="s">
        <v>1221</v>
      </c>
      <c r="D156" t="s">
        <v>1145</v>
      </c>
      <c r="E156" t="s">
        <v>1198</v>
      </c>
      <c r="F156" t="s">
        <v>914</v>
      </c>
      <c r="G156" t="s">
        <v>1105</v>
      </c>
      <c r="H156">
        <v>1996</v>
      </c>
      <c r="I156" t="s">
        <v>934</v>
      </c>
      <c r="J156">
        <v>110</v>
      </c>
      <c r="K156">
        <v>90</v>
      </c>
      <c r="L156" s="3" t="s">
        <v>1115</v>
      </c>
    </row>
    <row r="157" spans="1:12" x14ac:dyDescent="0.35">
      <c r="A157" s="22" t="s">
        <v>1119</v>
      </c>
      <c r="B157" t="s">
        <v>1115</v>
      </c>
      <c r="C157" t="s">
        <v>1080</v>
      </c>
      <c r="D157" s="2" t="str">
        <f>PROPER(Tab4_BlessuresJoueurs!A4)</f>
        <v>Eder</v>
      </c>
      <c r="E157" s="2" t="str">
        <f>UPPER(Tab4_BlessuresJoueurs!B4)</f>
        <v>MILITÃO</v>
      </c>
      <c r="F157" t="s">
        <v>1115</v>
      </c>
      <c r="G157" t="s">
        <v>1115</v>
      </c>
      <c r="H157" t="s">
        <v>1115</v>
      </c>
      <c r="I157" t="s">
        <v>1115</v>
      </c>
      <c r="J157" t="s">
        <v>1115</v>
      </c>
      <c r="K157" t="s">
        <v>1115</v>
      </c>
      <c r="L157" s="3" t="s">
        <v>596</v>
      </c>
    </row>
    <row r="158" spans="1:12" x14ac:dyDescent="0.35">
      <c r="A158" s="22" t="s">
        <v>1119</v>
      </c>
      <c r="B158" t="s">
        <v>1115</v>
      </c>
      <c r="C158" t="s">
        <v>1080</v>
      </c>
      <c r="D158" s="2" t="str">
        <f>PROPER(Tab4_BlessuresJoueurs!A39)</f>
        <v>Eder</v>
      </c>
      <c r="E158" s="2" t="str">
        <f>UPPER(Tab4_BlessuresJoueurs!B39)</f>
        <v>MILITÃO</v>
      </c>
      <c r="F158" t="s">
        <v>1115</v>
      </c>
      <c r="G158" t="s">
        <v>1115</v>
      </c>
      <c r="H158" t="s">
        <v>1115</v>
      </c>
      <c r="I158" t="s">
        <v>1115</v>
      </c>
      <c r="J158" t="s">
        <v>1115</v>
      </c>
      <c r="K158" t="s">
        <v>1115</v>
      </c>
      <c r="L158" s="3" t="s">
        <v>671</v>
      </c>
    </row>
    <row r="159" spans="1:12" x14ac:dyDescent="0.35">
      <c r="A159" s="22" t="s">
        <v>1119</v>
      </c>
      <c r="B159" t="s">
        <v>1115</v>
      </c>
      <c r="C159" t="s">
        <v>1080</v>
      </c>
      <c r="D159" s="2" t="str">
        <f>PROPER(Tab4_BlessuresJoueurs!A16)</f>
        <v>Lucas</v>
      </c>
      <c r="E159" s="2" t="str">
        <f>UPPER(Tab4_BlessuresJoueurs!B16)</f>
        <v>MINCARELLI</v>
      </c>
      <c r="F159" t="s">
        <v>1115</v>
      </c>
      <c r="G159" t="s">
        <v>1115</v>
      </c>
      <c r="H159" t="s">
        <v>1115</v>
      </c>
      <c r="I159" t="s">
        <v>1115</v>
      </c>
      <c r="J159" t="s">
        <v>1115</v>
      </c>
      <c r="K159" t="s">
        <v>1115</v>
      </c>
      <c r="L159" s="3" t="s">
        <v>628</v>
      </c>
    </row>
    <row r="160" spans="1:12" x14ac:dyDescent="0.35">
      <c r="A160" s="22" t="s">
        <v>1119</v>
      </c>
      <c r="B160" t="s">
        <v>1115</v>
      </c>
      <c r="C160" t="s">
        <v>1080</v>
      </c>
      <c r="D160" s="2" t="str">
        <f>PROPER(Tab4_BlessuresJoueurs!A51)</f>
        <v>Lucas</v>
      </c>
      <c r="E160" s="2" t="str">
        <f>UPPER(Tab4_BlessuresJoueurs!B51)</f>
        <v>MINCARELLI</v>
      </c>
      <c r="F160" t="s">
        <v>1115</v>
      </c>
      <c r="G160" t="s">
        <v>1115</v>
      </c>
      <c r="H160" t="s">
        <v>1115</v>
      </c>
      <c r="I160" t="s">
        <v>1115</v>
      </c>
      <c r="J160" t="s">
        <v>1115</v>
      </c>
      <c r="K160" t="s">
        <v>1115</v>
      </c>
      <c r="L160" s="3" t="s">
        <v>675</v>
      </c>
    </row>
    <row r="161" spans="1:12" x14ac:dyDescent="0.35">
      <c r="A161" s="27" t="s">
        <v>713</v>
      </c>
      <c r="B161" t="s">
        <v>448</v>
      </c>
      <c r="C161" t="s">
        <v>1080</v>
      </c>
      <c r="D161" t="s">
        <v>178</v>
      </c>
      <c r="E161" t="s">
        <v>1322</v>
      </c>
      <c r="F161" t="s">
        <v>926</v>
      </c>
      <c r="G161" t="s">
        <v>536</v>
      </c>
      <c r="H161">
        <v>2004</v>
      </c>
      <c r="I161" t="s">
        <v>1115</v>
      </c>
      <c r="J161" t="s">
        <v>1115</v>
      </c>
      <c r="K161" t="s">
        <v>1115</v>
      </c>
      <c r="L161" t="s">
        <v>1115</v>
      </c>
    </row>
    <row r="162" spans="1:12" x14ac:dyDescent="0.35">
      <c r="A162" s="27" t="s">
        <v>713</v>
      </c>
      <c r="B162" t="s">
        <v>392</v>
      </c>
      <c r="C162" t="s">
        <v>1080</v>
      </c>
      <c r="D162" t="s">
        <v>24</v>
      </c>
      <c r="E162" t="s">
        <v>1272</v>
      </c>
      <c r="F162" t="s">
        <v>926</v>
      </c>
      <c r="G162" t="s">
        <v>534</v>
      </c>
      <c r="H162">
        <v>1986</v>
      </c>
      <c r="I162" t="s">
        <v>1115</v>
      </c>
      <c r="J162" t="s">
        <v>1115</v>
      </c>
      <c r="K162" t="s">
        <v>1115</v>
      </c>
      <c r="L162" t="s">
        <v>1115</v>
      </c>
    </row>
    <row r="163" spans="1:12" x14ac:dyDescent="0.35">
      <c r="A163" s="22" t="s">
        <v>1119</v>
      </c>
      <c r="B163" t="s">
        <v>1115</v>
      </c>
      <c r="C163" t="s">
        <v>1080</v>
      </c>
      <c r="D163" s="2" t="str">
        <f>PROPER(Tab4_BlessuresJoueurs!A11)</f>
        <v>Terem</v>
      </c>
      <c r="E163" s="2" t="str">
        <f>UPPER(Tab4_BlessuresJoueurs!B11)</f>
        <v>MOFFI</v>
      </c>
      <c r="F163" t="s">
        <v>1115</v>
      </c>
      <c r="G163" t="s">
        <v>1115</v>
      </c>
      <c r="H163" t="s">
        <v>1115</v>
      </c>
      <c r="I163" t="s">
        <v>1115</v>
      </c>
      <c r="J163" t="s">
        <v>1115</v>
      </c>
      <c r="K163" t="s">
        <v>1115</v>
      </c>
      <c r="L163" s="3" t="s">
        <v>614</v>
      </c>
    </row>
    <row r="164" spans="1:12" x14ac:dyDescent="0.35">
      <c r="A164" s="22" t="s">
        <v>1119</v>
      </c>
      <c r="B164" t="s">
        <v>1115</v>
      </c>
      <c r="C164" t="s">
        <v>1080</v>
      </c>
      <c r="D164" s="2" t="str">
        <f>PROPER(Tab4_BlessuresJoueurs!A46)</f>
        <v>Terem</v>
      </c>
      <c r="E164" s="2" t="str">
        <f>UPPER(Tab4_BlessuresJoueurs!B46)</f>
        <v>MOFFI</v>
      </c>
      <c r="F164" t="s">
        <v>1115</v>
      </c>
      <c r="G164" t="s">
        <v>1115</v>
      </c>
      <c r="H164" t="s">
        <v>1115</v>
      </c>
      <c r="I164" t="s">
        <v>1115</v>
      </c>
      <c r="J164" t="s">
        <v>1115</v>
      </c>
      <c r="K164" t="s">
        <v>1115</v>
      </c>
      <c r="L164" s="3" t="s">
        <v>671</v>
      </c>
    </row>
    <row r="165" spans="1:12" x14ac:dyDescent="0.35">
      <c r="A165" s="25" t="s">
        <v>1122</v>
      </c>
      <c r="B165" t="s">
        <v>1115</v>
      </c>
      <c r="C165" t="s">
        <v>1221</v>
      </c>
      <c r="D165" t="s">
        <v>1130</v>
      </c>
      <c r="E165" t="s">
        <v>1191</v>
      </c>
      <c r="F165" t="s">
        <v>914</v>
      </c>
      <c r="G165" t="s">
        <v>913</v>
      </c>
      <c r="H165">
        <v>1989</v>
      </c>
      <c r="I165" t="s">
        <v>915</v>
      </c>
      <c r="J165">
        <v>200</v>
      </c>
      <c r="K165">
        <v>120</v>
      </c>
      <c r="L165" s="3" t="s">
        <v>1115</v>
      </c>
    </row>
    <row r="166" spans="1:12" x14ac:dyDescent="0.35">
      <c r="A166" s="22" t="s">
        <v>1119</v>
      </c>
      <c r="B166" t="s">
        <v>1115</v>
      </c>
      <c r="C166" t="s">
        <v>1080</v>
      </c>
      <c r="D166" s="2" t="str">
        <f>PROPER(Tab4_BlessuresJoueurs!A24)</f>
        <v>Aïmen</v>
      </c>
      <c r="E166" s="2" t="str">
        <f>UPPER(Tab4_BlessuresJoueurs!B24)</f>
        <v>MOUEFFEK</v>
      </c>
      <c r="F166" t="s">
        <v>1115</v>
      </c>
      <c r="G166" t="s">
        <v>1115</v>
      </c>
      <c r="H166" t="s">
        <v>1115</v>
      </c>
      <c r="I166" t="s">
        <v>1115</v>
      </c>
      <c r="J166" t="s">
        <v>1115</v>
      </c>
      <c r="K166" t="s">
        <v>1115</v>
      </c>
      <c r="L166" s="3" t="s">
        <v>649</v>
      </c>
    </row>
    <row r="167" spans="1:12" x14ac:dyDescent="0.35">
      <c r="A167" s="27" t="s">
        <v>713</v>
      </c>
      <c r="B167" t="s">
        <v>344</v>
      </c>
      <c r="C167" t="s">
        <v>1080</v>
      </c>
      <c r="D167" t="s">
        <v>277</v>
      </c>
      <c r="E167" t="s">
        <v>1235</v>
      </c>
      <c r="F167" t="s">
        <v>914</v>
      </c>
      <c r="G167" t="s">
        <v>527</v>
      </c>
      <c r="H167">
        <v>2005</v>
      </c>
      <c r="I167" t="s">
        <v>1115</v>
      </c>
      <c r="J167" t="s">
        <v>1115</v>
      </c>
      <c r="K167" t="s">
        <v>1115</v>
      </c>
      <c r="L167" t="s">
        <v>1115</v>
      </c>
    </row>
    <row r="168" spans="1:12" x14ac:dyDescent="0.35">
      <c r="A168" s="27" t="s">
        <v>713</v>
      </c>
      <c r="B168" t="s">
        <v>355</v>
      </c>
      <c r="C168" t="s">
        <v>1080</v>
      </c>
      <c r="D168" t="s">
        <v>120</v>
      </c>
      <c r="E168" t="s">
        <v>1243</v>
      </c>
      <c r="F168" t="s">
        <v>926</v>
      </c>
      <c r="G168" t="s">
        <v>528</v>
      </c>
      <c r="H168">
        <v>2000</v>
      </c>
      <c r="I168" t="s">
        <v>1115</v>
      </c>
      <c r="J168" t="s">
        <v>1115</v>
      </c>
      <c r="K168" t="s">
        <v>1115</v>
      </c>
      <c r="L168" t="s">
        <v>1115</v>
      </c>
    </row>
    <row r="169" spans="1:12" x14ac:dyDescent="0.35">
      <c r="A169" s="27" t="s">
        <v>713</v>
      </c>
      <c r="B169" t="s">
        <v>481</v>
      </c>
      <c r="C169" t="s">
        <v>1080</v>
      </c>
      <c r="D169" t="s">
        <v>245</v>
      </c>
      <c r="E169" t="s">
        <v>1349</v>
      </c>
      <c r="F169" t="s">
        <v>914</v>
      </c>
      <c r="G169" t="s">
        <v>541</v>
      </c>
      <c r="H169">
        <v>2001</v>
      </c>
      <c r="I169" t="s">
        <v>1115</v>
      </c>
      <c r="J169" t="s">
        <v>1115</v>
      </c>
      <c r="K169" t="s">
        <v>1115</v>
      </c>
      <c r="L169" t="s">
        <v>1115</v>
      </c>
    </row>
    <row r="170" spans="1:12" x14ac:dyDescent="0.35">
      <c r="A170" s="27" t="s">
        <v>713</v>
      </c>
      <c r="B170" t="s">
        <v>333</v>
      </c>
      <c r="C170" t="s">
        <v>1080</v>
      </c>
      <c r="D170" t="s">
        <v>61</v>
      </c>
      <c r="E170" t="s">
        <v>1225</v>
      </c>
      <c r="F170" t="s">
        <v>926</v>
      </c>
      <c r="G170" t="s">
        <v>527</v>
      </c>
      <c r="H170">
        <v>1989</v>
      </c>
      <c r="I170" t="s">
        <v>1115</v>
      </c>
      <c r="J170" t="s">
        <v>1115</v>
      </c>
      <c r="K170" t="s">
        <v>1115</v>
      </c>
      <c r="L170" t="s">
        <v>1115</v>
      </c>
    </row>
    <row r="171" spans="1:12" x14ac:dyDescent="0.35">
      <c r="A171" s="27" t="s">
        <v>713</v>
      </c>
      <c r="B171" t="s">
        <v>343</v>
      </c>
      <c r="C171" t="s">
        <v>1080</v>
      </c>
      <c r="D171" t="s">
        <v>229</v>
      </c>
      <c r="E171" t="s">
        <v>1234</v>
      </c>
      <c r="F171" t="s">
        <v>926</v>
      </c>
      <c r="G171" t="s">
        <v>527</v>
      </c>
      <c r="H171">
        <v>2004</v>
      </c>
      <c r="I171" t="s">
        <v>1115</v>
      </c>
      <c r="J171" t="s">
        <v>1115</v>
      </c>
      <c r="K171" t="s">
        <v>1115</v>
      </c>
      <c r="L171" t="s">
        <v>1115</v>
      </c>
    </row>
    <row r="172" spans="1:12" x14ac:dyDescent="0.35">
      <c r="A172" s="19" t="s">
        <v>878</v>
      </c>
      <c r="B172" t="s">
        <v>552</v>
      </c>
      <c r="C172" t="s">
        <v>1080</v>
      </c>
      <c r="D172" t="s">
        <v>317</v>
      </c>
      <c r="E172" t="s">
        <v>517</v>
      </c>
      <c r="F172" t="s">
        <v>487</v>
      </c>
      <c r="G172" t="s">
        <v>533</v>
      </c>
      <c r="H172" t="s">
        <v>1115</v>
      </c>
      <c r="I172" t="s">
        <v>1115</v>
      </c>
      <c r="J172" t="s">
        <v>1115</v>
      </c>
      <c r="K172" t="s">
        <v>1115</v>
      </c>
      <c r="L172" t="s">
        <v>1115</v>
      </c>
    </row>
    <row r="173" spans="1:12" x14ac:dyDescent="0.35">
      <c r="A173" s="27" t="s">
        <v>713</v>
      </c>
      <c r="B173" t="s">
        <v>389</v>
      </c>
      <c r="C173" t="s">
        <v>1080</v>
      </c>
      <c r="D173" t="s">
        <v>317</v>
      </c>
      <c r="E173" t="s">
        <v>517</v>
      </c>
      <c r="F173" t="s">
        <v>487</v>
      </c>
      <c r="G173" t="s">
        <v>1362</v>
      </c>
      <c r="H173">
        <v>1987</v>
      </c>
      <c r="I173" t="s">
        <v>1115</v>
      </c>
      <c r="J173" t="s">
        <v>1115</v>
      </c>
      <c r="K173" t="s">
        <v>1115</v>
      </c>
      <c r="L173" t="s">
        <v>1115</v>
      </c>
    </row>
    <row r="174" spans="1:12" x14ac:dyDescent="0.35">
      <c r="A174" s="19" t="s">
        <v>878</v>
      </c>
      <c r="B174" t="s">
        <v>542</v>
      </c>
      <c r="C174" t="s">
        <v>1080</v>
      </c>
      <c r="D174" t="s">
        <v>67</v>
      </c>
      <c r="E174" t="s">
        <v>507</v>
      </c>
      <c r="F174" t="s">
        <v>487</v>
      </c>
      <c r="G174" t="s">
        <v>527</v>
      </c>
      <c r="H174" t="s">
        <v>1115</v>
      </c>
      <c r="I174" t="s">
        <v>1115</v>
      </c>
      <c r="J174" t="s">
        <v>1115</v>
      </c>
      <c r="K174" t="s">
        <v>1115</v>
      </c>
      <c r="L174" t="s">
        <v>1115</v>
      </c>
    </row>
    <row r="175" spans="1:12" x14ac:dyDescent="0.35">
      <c r="A175" s="20" t="s">
        <v>1085</v>
      </c>
      <c r="B175" s="15">
        <v>19</v>
      </c>
      <c r="C175" t="s">
        <v>1080</v>
      </c>
      <c r="D175" t="s">
        <v>67</v>
      </c>
      <c r="E175" t="s">
        <v>507</v>
      </c>
      <c r="F175" t="s">
        <v>42</v>
      </c>
      <c r="G175" t="s">
        <v>527</v>
      </c>
      <c r="H175">
        <v>1986</v>
      </c>
      <c r="I175" t="s">
        <v>1115</v>
      </c>
      <c r="J175" t="s">
        <v>1115</v>
      </c>
      <c r="K175" t="s">
        <v>1115</v>
      </c>
      <c r="L175" t="s">
        <v>1115</v>
      </c>
    </row>
    <row r="176" spans="1:12" x14ac:dyDescent="0.35">
      <c r="A176" s="27" t="s">
        <v>713</v>
      </c>
      <c r="B176" t="s">
        <v>332</v>
      </c>
      <c r="C176" t="s">
        <v>1080</v>
      </c>
      <c r="D176" t="s">
        <v>67</v>
      </c>
      <c r="E176" t="s">
        <v>507</v>
      </c>
      <c r="F176" t="s">
        <v>487</v>
      </c>
      <c r="G176" t="s">
        <v>527</v>
      </c>
      <c r="H176">
        <v>1986</v>
      </c>
      <c r="I176" t="s">
        <v>1115</v>
      </c>
      <c r="J176" t="s">
        <v>1115</v>
      </c>
      <c r="K176" t="s">
        <v>1115</v>
      </c>
      <c r="L176" t="s">
        <v>1115</v>
      </c>
    </row>
    <row r="177" spans="1:12" x14ac:dyDescent="0.35">
      <c r="A177" s="27" t="s">
        <v>713</v>
      </c>
      <c r="B177" t="s">
        <v>375</v>
      </c>
      <c r="C177" t="s">
        <v>1080</v>
      </c>
      <c r="D177" t="s">
        <v>13</v>
      </c>
      <c r="E177" t="s">
        <v>1258</v>
      </c>
      <c r="F177" t="s">
        <v>914</v>
      </c>
      <c r="G177" t="s">
        <v>531</v>
      </c>
      <c r="H177">
        <v>1992</v>
      </c>
      <c r="I177" t="s">
        <v>1115</v>
      </c>
      <c r="J177" t="s">
        <v>1115</v>
      </c>
      <c r="K177" t="s">
        <v>1115</v>
      </c>
      <c r="L177" t="s">
        <v>1115</v>
      </c>
    </row>
    <row r="178" spans="1:12" x14ac:dyDescent="0.35">
      <c r="A178" s="22" t="s">
        <v>1119</v>
      </c>
      <c r="B178" t="s">
        <v>1115</v>
      </c>
      <c r="C178" t="s">
        <v>1080</v>
      </c>
      <c r="D178" s="2" t="str">
        <f>PROPER(Tab4_BlessuresJoueurs!A17)</f>
        <v>Glenn</v>
      </c>
      <c r="E178" s="2" t="str">
        <f>UPPER(Tab4_BlessuresJoueurs!B17)</f>
        <v>NGOSSO</v>
      </c>
      <c r="F178" t="s">
        <v>1115</v>
      </c>
      <c r="G178" t="s">
        <v>1115</v>
      </c>
      <c r="H178" t="s">
        <v>1115</v>
      </c>
      <c r="I178" t="s">
        <v>1115</v>
      </c>
      <c r="J178" t="s">
        <v>1115</v>
      </c>
      <c r="K178" t="s">
        <v>1115</v>
      </c>
      <c r="L178" s="3" t="s">
        <v>614</v>
      </c>
    </row>
    <row r="179" spans="1:12" x14ac:dyDescent="0.35">
      <c r="A179" s="22" t="s">
        <v>1119</v>
      </c>
      <c r="B179" t="s">
        <v>1115</v>
      </c>
      <c r="C179" t="s">
        <v>1080</v>
      </c>
      <c r="D179" s="2" t="str">
        <f>PROPER(Tab4_BlessuresJoueurs!A52)</f>
        <v>Glenn</v>
      </c>
      <c r="E179" s="2" t="str">
        <f>UPPER(Tab4_BlessuresJoueurs!B52)</f>
        <v>NGOSSO</v>
      </c>
      <c r="F179" t="s">
        <v>1115</v>
      </c>
      <c r="G179" t="s">
        <v>1115</v>
      </c>
      <c r="H179" t="s">
        <v>1115</v>
      </c>
      <c r="I179" t="s">
        <v>1115</v>
      </c>
      <c r="J179" t="s">
        <v>1115</v>
      </c>
      <c r="K179" t="s">
        <v>1115</v>
      </c>
      <c r="L179" s="3" t="s">
        <v>671</v>
      </c>
    </row>
    <row r="180" spans="1:12" x14ac:dyDescent="0.35">
      <c r="A180" s="27" t="s">
        <v>713</v>
      </c>
      <c r="B180" t="s">
        <v>471</v>
      </c>
      <c r="C180" t="s">
        <v>1080</v>
      </c>
      <c r="D180" t="s">
        <v>235</v>
      </c>
      <c r="E180" t="s">
        <v>1342</v>
      </c>
      <c r="F180" t="s">
        <v>923</v>
      </c>
      <c r="G180" t="s">
        <v>1086</v>
      </c>
      <c r="H180">
        <v>2001</v>
      </c>
      <c r="I180" t="s">
        <v>1115</v>
      </c>
      <c r="J180" t="s">
        <v>1115</v>
      </c>
      <c r="K180" t="s">
        <v>1115</v>
      </c>
      <c r="L180" t="s">
        <v>1115</v>
      </c>
    </row>
    <row r="181" spans="1:12" x14ac:dyDescent="0.35">
      <c r="A181" s="19" t="s">
        <v>878</v>
      </c>
      <c r="B181" t="s">
        <v>559</v>
      </c>
      <c r="C181" t="s">
        <v>1080</v>
      </c>
      <c r="D181" t="s">
        <v>308</v>
      </c>
      <c r="E181" t="s">
        <v>524</v>
      </c>
      <c r="F181" t="s">
        <v>487</v>
      </c>
      <c r="G181" t="s">
        <v>539</v>
      </c>
      <c r="H181" t="s">
        <v>1115</v>
      </c>
      <c r="I181" t="s">
        <v>1115</v>
      </c>
      <c r="J181" t="s">
        <v>1115</v>
      </c>
      <c r="K181" t="s">
        <v>1115</v>
      </c>
      <c r="L181" t="s">
        <v>1115</v>
      </c>
    </row>
    <row r="182" spans="1:12" x14ac:dyDescent="0.35">
      <c r="A182" s="27" t="s">
        <v>713</v>
      </c>
      <c r="B182" t="s">
        <v>477</v>
      </c>
      <c r="C182" t="s">
        <v>1080</v>
      </c>
      <c r="D182" t="s">
        <v>308</v>
      </c>
      <c r="E182" t="s">
        <v>524</v>
      </c>
      <c r="F182" t="s">
        <v>487</v>
      </c>
      <c r="G182" t="s">
        <v>539</v>
      </c>
      <c r="H182">
        <v>1993</v>
      </c>
      <c r="I182" t="s">
        <v>1115</v>
      </c>
      <c r="J182" t="s">
        <v>1115</v>
      </c>
      <c r="K182" t="s">
        <v>1115</v>
      </c>
      <c r="L182" t="s">
        <v>1115</v>
      </c>
    </row>
    <row r="183" spans="1:12" x14ac:dyDescent="0.35">
      <c r="A183" s="19" t="s">
        <v>878</v>
      </c>
      <c r="B183" t="s">
        <v>557</v>
      </c>
      <c r="C183" t="s">
        <v>1080</v>
      </c>
      <c r="D183" t="s">
        <v>326</v>
      </c>
      <c r="E183" t="s">
        <v>522</v>
      </c>
      <c r="F183" t="s">
        <v>487</v>
      </c>
      <c r="G183" t="s">
        <v>537</v>
      </c>
      <c r="H183" t="s">
        <v>1115</v>
      </c>
      <c r="I183" t="s">
        <v>1115</v>
      </c>
      <c r="J183" t="s">
        <v>1115</v>
      </c>
      <c r="K183" t="s">
        <v>1115</v>
      </c>
      <c r="L183" t="s">
        <v>1115</v>
      </c>
    </row>
    <row r="184" spans="1:12" x14ac:dyDescent="0.35">
      <c r="A184" s="27" t="s">
        <v>713</v>
      </c>
      <c r="B184" t="s">
        <v>452</v>
      </c>
      <c r="C184" t="s">
        <v>1080</v>
      </c>
      <c r="D184" t="s">
        <v>326</v>
      </c>
      <c r="E184" t="s">
        <v>522</v>
      </c>
      <c r="F184" t="s">
        <v>487</v>
      </c>
      <c r="G184" t="s">
        <v>537</v>
      </c>
      <c r="H184">
        <v>1986</v>
      </c>
      <c r="I184" t="s">
        <v>1115</v>
      </c>
      <c r="J184" t="s">
        <v>1115</v>
      </c>
      <c r="K184" t="s">
        <v>1115</v>
      </c>
      <c r="L184" t="s">
        <v>1115</v>
      </c>
    </row>
    <row r="185" spans="1:12" x14ac:dyDescent="0.35">
      <c r="A185" s="27" t="s">
        <v>713</v>
      </c>
      <c r="B185" t="s">
        <v>407</v>
      </c>
      <c r="C185" t="s">
        <v>1080</v>
      </c>
      <c r="D185" t="s">
        <v>227</v>
      </c>
      <c r="E185" t="s">
        <v>1285</v>
      </c>
      <c r="F185" t="s">
        <v>926</v>
      </c>
      <c r="G185" t="s">
        <v>1106</v>
      </c>
      <c r="H185">
        <v>1999</v>
      </c>
      <c r="I185" t="s">
        <v>1115</v>
      </c>
      <c r="J185" t="s">
        <v>1115</v>
      </c>
      <c r="K185" t="s">
        <v>1115</v>
      </c>
      <c r="L185" t="s">
        <v>1115</v>
      </c>
    </row>
    <row r="186" spans="1:12" x14ac:dyDescent="0.35">
      <c r="A186" s="19" t="s">
        <v>878</v>
      </c>
      <c r="B186" t="s">
        <v>551</v>
      </c>
      <c r="C186" t="s">
        <v>1080</v>
      </c>
      <c r="D186" t="s">
        <v>131</v>
      </c>
      <c r="E186" t="s">
        <v>516</v>
      </c>
      <c r="F186" t="s">
        <v>487</v>
      </c>
      <c r="G186" t="s">
        <v>532</v>
      </c>
      <c r="H186" t="s">
        <v>1115</v>
      </c>
      <c r="I186" t="s">
        <v>1115</v>
      </c>
      <c r="J186" t="s">
        <v>1115</v>
      </c>
      <c r="K186" t="s">
        <v>1115</v>
      </c>
      <c r="L186" t="s">
        <v>1115</v>
      </c>
    </row>
    <row r="187" spans="1:12" x14ac:dyDescent="0.35">
      <c r="A187" s="27" t="s">
        <v>713</v>
      </c>
      <c r="B187" t="s">
        <v>386</v>
      </c>
      <c r="C187" t="s">
        <v>1080</v>
      </c>
      <c r="D187" t="s">
        <v>131</v>
      </c>
      <c r="E187" t="s">
        <v>516</v>
      </c>
      <c r="F187" t="s">
        <v>487</v>
      </c>
      <c r="G187" t="s">
        <v>532</v>
      </c>
      <c r="H187">
        <v>1996</v>
      </c>
      <c r="I187" t="s">
        <v>1115</v>
      </c>
      <c r="J187" t="s">
        <v>1115</v>
      </c>
      <c r="K187" t="s">
        <v>1115</v>
      </c>
      <c r="L187" t="s">
        <v>1115</v>
      </c>
    </row>
    <row r="188" spans="1:12" x14ac:dyDescent="0.35">
      <c r="A188" s="25" t="s">
        <v>1122</v>
      </c>
      <c r="B188" t="s">
        <v>1115</v>
      </c>
      <c r="C188" t="s">
        <v>1221</v>
      </c>
      <c r="D188" t="s">
        <v>1183</v>
      </c>
      <c r="E188" t="s">
        <v>1217</v>
      </c>
      <c r="F188" t="s">
        <v>914</v>
      </c>
      <c r="G188" t="s">
        <v>1129</v>
      </c>
      <c r="H188">
        <v>1994</v>
      </c>
      <c r="I188" t="s">
        <v>924</v>
      </c>
      <c r="J188">
        <v>110</v>
      </c>
      <c r="K188">
        <v>90</v>
      </c>
      <c r="L188" s="3" t="s">
        <v>1115</v>
      </c>
    </row>
    <row r="189" spans="1:12" x14ac:dyDescent="0.35">
      <c r="A189" s="27" t="s">
        <v>713</v>
      </c>
      <c r="B189" t="s">
        <v>453</v>
      </c>
      <c r="C189" t="s">
        <v>1080</v>
      </c>
      <c r="D189" t="s">
        <v>123</v>
      </c>
      <c r="E189" t="s">
        <v>1326</v>
      </c>
      <c r="F189" t="s">
        <v>914</v>
      </c>
      <c r="G189" t="s">
        <v>1129</v>
      </c>
      <c r="H189">
        <v>1999</v>
      </c>
      <c r="I189" t="s">
        <v>1115</v>
      </c>
      <c r="J189" t="s">
        <v>1115</v>
      </c>
      <c r="K189" t="s">
        <v>1115</v>
      </c>
      <c r="L189" t="s">
        <v>1115</v>
      </c>
    </row>
    <row r="190" spans="1:12" x14ac:dyDescent="0.35">
      <c r="A190" s="27" t="s">
        <v>713</v>
      </c>
      <c r="B190" t="s">
        <v>334</v>
      </c>
      <c r="C190" t="s">
        <v>1080</v>
      </c>
      <c r="D190" t="s">
        <v>76</v>
      </c>
      <c r="E190" t="s">
        <v>1226</v>
      </c>
      <c r="F190" t="s">
        <v>926</v>
      </c>
      <c r="G190" t="s">
        <v>527</v>
      </c>
      <c r="H190">
        <v>1989</v>
      </c>
      <c r="I190" t="s">
        <v>1115</v>
      </c>
      <c r="J190" t="s">
        <v>1115</v>
      </c>
      <c r="K190" t="s">
        <v>1115</v>
      </c>
      <c r="L190" t="s">
        <v>1115</v>
      </c>
    </row>
    <row r="191" spans="1:12" x14ac:dyDescent="0.35">
      <c r="A191" s="27" t="s">
        <v>713</v>
      </c>
      <c r="B191" t="s">
        <v>381</v>
      </c>
      <c r="C191" t="s">
        <v>1080</v>
      </c>
      <c r="D191" t="s">
        <v>181</v>
      </c>
      <c r="E191" t="s">
        <v>1263</v>
      </c>
      <c r="F191" t="s">
        <v>926</v>
      </c>
      <c r="G191" t="s">
        <v>531</v>
      </c>
      <c r="H191">
        <v>2001</v>
      </c>
      <c r="I191" t="s">
        <v>1115</v>
      </c>
      <c r="J191" t="s">
        <v>1115</v>
      </c>
      <c r="K191" t="s">
        <v>1115</v>
      </c>
      <c r="L191" t="s">
        <v>1115</v>
      </c>
    </row>
    <row r="192" spans="1:12" x14ac:dyDescent="0.35">
      <c r="A192" s="25" t="s">
        <v>1122</v>
      </c>
      <c r="B192" t="s">
        <v>1115</v>
      </c>
      <c r="C192" t="s">
        <v>1221</v>
      </c>
      <c r="D192" t="s">
        <v>1175</v>
      </c>
      <c r="E192" t="s">
        <v>1213</v>
      </c>
      <c r="F192" t="s">
        <v>923</v>
      </c>
      <c r="G192" t="s">
        <v>1106</v>
      </c>
      <c r="H192">
        <v>1991</v>
      </c>
      <c r="I192" t="s">
        <v>924</v>
      </c>
      <c r="J192">
        <v>118</v>
      </c>
      <c r="K192">
        <v>15</v>
      </c>
      <c r="L192" s="3" t="s">
        <v>1115</v>
      </c>
    </row>
    <row r="193" spans="1:12" x14ac:dyDescent="0.35">
      <c r="A193" s="27" t="s">
        <v>713</v>
      </c>
      <c r="B193" t="s">
        <v>411</v>
      </c>
      <c r="C193" t="s">
        <v>1080</v>
      </c>
      <c r="D193" t="s">
        <v>110</v>
      </c>
      <c r="E193" t="s">
        <v>1289</v>
      </c>
      <c r="F193" t="s">
        <v>926</v>
      </c>
      <c r="G193" t="s">
        <v>1106</v>
      </c>
      <c r="H193">
        <v>2003</v>
      </c>
      <c r="I193" t="s">
        <v>1115</v>
      </c>
      <c r="J193" t="s">
        <v>1115</v>
      </c>
      <c r="K193" t="s">
        <v>1115</v>
      </c>
      <c r="L193" t="s">
        <v>1115</v>
      </c>
    </row>
    <row r="194" spans="1:12" x14ac:dyDescent="0.35">
      <c r="A194" s="20" t="s">
        <v>1085</v>
      </c>
      <c r="B194" s="15">
        <v>4</v>
      </c>
      <c r="C194" t="s">
        <v>1080</v>
      </c>
      <c r="D194" t="s">
        <v>563</v>
      </c>
      <c r="E194" t="s">
        <v>1090</v>
      </c>
      <c r="F194" t="s">
        <v>7</v>
      </c>
      <c r="G194" t="s">
        <v>531</v>
      </c>
      <c r="H194">
        <v>1940</v>
      </c>
      <c r="I194" t="s">
        <v>1115</v>
      </c>
      <c r="J194" t="s">
        <v>1115</v>
      </c>
      <c r="K194" t="s">
        <v>1115</v>
      </c>
      <c r="L194" t="s">
        <v>1115</v>
      </c>
    </row>
    <row r="195" spans="1:12" x14ac:dyDescent="0.35">
      <c r="A195" s="19" t="s">
        <v>878</v>
      </c>
      <c r="B195" t="s">
        <v>545</v>
      </c>
      <c r="C195" t="s">
        <v>1080</v>
      </c>
      <c r="D195" t="s">
        <v>319</v>
      </c>
      <c r="E195" t="s">
        <v>510</v>
      </c>
      <c r="F195" t="s">
        <v>487</v>
      </c>
      <c r="G195" t="s">
        <v>528</v>
      </c>
      <c r="H195" t="s">
        <v>1115</v>
      </c>
      <c r="I195" t="s">
        <v>1115</v>
      </c>
      <c r="J195" t="s">
        <v>1115</v>
      </c>
      <c r="K195" t="s">
        <v>1115</v>
      </c>
      <c r="L195" t="s">
        <v>1115</v>
      </c>
    </row>
    <row r="196" spans="1:12" x14ac:dyDescent="0.35">
      <c r="A196" s="27" t="s">
        <v>713</v>
      </c>
      <c r="B196" t="s">
        <v>349</v>
      </c>
      <c r="C196" t="s">
        <v>1080</v>
      </c>
      <c r="D196" t="s">
        <v>319</v>
      </c>
      <c r="E196" t="s">
        <v>510</v>
      </c>
      <c r="F196" t="s">
        <v>487</v>
      </c>
      <c r="G196" t="s">
        <v>528</v>
      </c>
      <c r="H196">
        <v>1994</v>
      </c>
      <c r="I196" t="s">
        <v>1115</v>
      </c>
      <c r="J196" t="s">
        <v>1115</v>
      </c>
      <c r="K196" t="s">
        <v>1115</v>
      </c>
      <c r="L196" t="s">
        <v>1115</v>
      </c>
    </row>
    <row r="197" spans="1:12" x14ac:dyDescent="0.35">
      <c r="A197" s="27" t="s">
        <v>713</v>
      </c>
      <c r="B197" t="s">
        <v>413</v>
      </c>
      <c r="C197" t="s">
        <v>1080</v>
      </c>
      <c r="D197" t="s">
        <v>289</v>
      </c>
      <c r="E197" t="s">
        <v>1291</v>
      </c>
      <c r="F197" t="s">
        <v>914</v>
      </c>
      <c r="G197" t="s">
        <v>1106</v>
      </c>
      <c r="H197">
        <v>2004</v>
      </c>
      <c r="I197" t="s">
        <v>1115</v>
      </c>
      <c r="J197" t="s">
        <v>1115</v>
      </c>
      <c r="K197" t="s">
        <v>1115</v>
      </c>
      <c r="L197" t="s">
        <v>1115</v>
      </c>
    </row>
    <row r="198" spans="1:12" x14ac:dyDescent="0.35">
      <c r="A198" s="27" t="s">
        <v>713</v>
      </c>
      <c r="B198" t="s">
        <v>402</v>
      </c>
      <c r="C198" t="s">
        <v>1080</v>
      </c>
      <c r="D198" t="s">
        <v>149</v>
      </c>
      <c r="E198" t="s">
        <v>1281</v>
      </c>
      <c r="F198" t="s">
        <v>923</v>
      </c>
      <c r="G198" t="s">
        <v>1106</v>
      </c>
      <c r="H198">
        <v>1987</v>
      </c>
      <c r="I198" t="s">
        <v>1115</v>
      </c>
      <c r="J198" t="s">
        <v>1115</v>
      </c>
      <c r="K198" t="s">
        <v>1115</v>
      </c>
      <c r="L198" t="s">
        <v>1115</v>
      </c>
    </row>
    <row r="199" spans="1:12" x14ac:dyDescent="0.35">
      <c r="A199" s="27" t="s">
        <v>713</v>
      </c>
      <c r="B199" t="s">
        <v>437</v>
      </c>
      <c r="C199" t="s">
        <v>1080</v>
      </c>
      <c r="D199" t="s">
        <v>158</v>
      </c>
      <c r="E199" t="s">
        <v>1312</v>
      </c>
      <c r="F199" t="s">
        <v>926</v>
      </c>
      <c r="G199" t="s">
        <v>536</v>
      </c>
      <c r="H199">
        <v>1980</v>
      </c>
      <c r="I199" t="s">
        <v>1115</v>
      </c>
      <c r="J199" t="s">
        <v>1115</v>
      </c>
      <c r="K199" t="s">
        <v>1115</v>
      </c>
      <c r="L199" t="s">
        <v>1115</v>
      </c>
    </row>
    <row r="200" spans="1:12" x14ac:dyDescent="0.35">
      <c r="A200" s="20" t="s">
        <v>1085</v>
      </c>
      <c r="B200" s="15">
        <v>9</v>
      </c>
      <c r="C200" t="s">
        <v>1080</v>
      </c>
      <c r="D200" t="s">
        <v>576</v>
      </c>
      <c r="E200" t="s">
        <v>1095</v>
      </c>
      <c r="F200" t="s">
        <v>25</v>
      </c>
      <c r="G200" t="s">
        <v>535</v>
      </c>
      <c r="H200">
        <v>1955</v>
      </c>
      <c r="I200" t="s">
        <v>1115</v>
      </c>
      <c r="J200" t="s">
        <v>1115</v>
      </c>
      <c r="K200" t="s">
        <v>1115</v>
      </c>
      <c r="L200" t="s">
        <v>1115</v>
      </c>
    </row>
    <row r="201" spans="1:12" x14ac:dyDescent="0.35">
      <c r="A201" s="27" t="s">
        <v>713</v>
      </c>
      <c r="B201" t="s">
        <v>421</v>
      </c>
      <c r="C201" t="s">
        <v>1080</v>
      </c>
      <c r="D201" t="s">
        <v>52</v>
      </c>
      <c r="E201" t="s">
        <v>1298</v>
      </c>
      <c r="F201" t="s">
        <v>926</v>
      </c>
      <c r="G201" t="s">
        <v>535</v>
      </c>
      <c r="H201">
        <v>1993</v>
      </c>
      <c r="I201" t="s">
        <v>1115</v>
      </c>
      <c r="J201" t="s">
        <v>1115</v>
      </c>
      <c r="K201" t="s">
        <v>1115</v>
      </c>
      <c r="L201" t="s">
        <v>1115</v>
      </c>
    </row>
    <row r="202" spans="1:12" x14ac:dyDescent="0.35">
      <c r="A202" s="19" t="s">
        <v>878</v>
      </c>
      <c r="B202" t="s">
        <v>544</v>
      </c>
      <c r="C202" t="s">
        <v>1080</v>
      </c>
      <c r="D202" t="s">
        <v>313</v>
      </c>
      <c r="E202" t="s">
        <v>509</v>
      </c>
      <c r="F202" t="s">
        <v>487</v>
      </c>
      <c r="G202" t="s">
        <v>528</v>
      </c>
      <c r="H202" t="s">
        <v>1115</v>
      </c>
      <c r="I202" t="s">
        <v>1115</v>
      </c>
      <c r="J202" t="s">
        <v>1115</v>
      </c>
      <c r="K202" t="s">
        <v>1115</v>
      </c>
      <c r="L202" t="s">
        <v>1115</v>
      </c>
    </row>
    <row r="203" spans="1:12" x14ac:dyDescent="0.35">
      <c r="A203" s="27" t="s">
        <v>713</v>
      </c>
      <c r="B203" t="s">
        <v>347</v>
      </c>
      <c r="C203" t="s">
        <v>1080</v>
      </c>
      <c r="D203" t="s">
        <v>313</v>
      </c>
      <c r="E203" t="s">
        <v>509</v>
      </c>
      <c r="F203" t="s">
        <v>487</v>
      </c>
      <c r="G203" t="s">
        <v>528</v>
      </c>
      <c r="H203">
        <v>1992</v>
      </c>
      <c r="I203" t="s">
        <v>1115</v>
      </c>
      <c r="J203" t="s">
        <v>1115</v>
      </c>
      <c r="K203" t="s">
        <v>1115</v>
      </c>
      <c r="L203" t="s">
        <v>1115</v>
      </c>
    </row>
    <row r="204" spans="1:12" x14ac:dyDescent="0.35">
      <c r="A204" s="25" t="s">
        <v>1122</v>
      </c>
      <c r="B204" t="s">
        <v>1115</v>
      </c>
      <c r="C204" t="s">
        <v>1221</v>
      </c>
      <c r="D204" t="s">
        <v>1173</v>
      </c>
      <c r="E204" t="s">
        <v>1212</v>
      </c>
      <c r="F204" t="s">
        <v>926</v>
      </c>
      <c r="G204" t="s">
        <v>1106</v>
      </c>
      <c r="H204">
        <v>1994</v>
      </c>
      <c r="I204" t="s">
        <v>924</v>
      </c>
      <c r="J204">
        <v>125</v>
      </c>
      <c r="K204">
        <v>80</v>
      </c>
      <c r="L204" s="3" t="s">
        <v>1115</v>
      </c>
    </row>
    <row r="205" spans="1:12" x14ac:dyDescent="0.35">
      <c r="A205" s="27" t="s">
        <v>713</v>
      </c>
      <c r="B205" t="s">
        <v>423</v>
      </c>
      <c r="C205" t="s">
        <v>1080</v>
      </c>
      <c r="D205" t="s">
        <v>136</v>
      </c>
      <c r="E205" t="s">
        <v>1300</v>
      </c>
      <c r="F205" t="s">
        <v>926</v>
      </c>
      <c r="G205" t="s">
        <v>535</v>
      </c>
      <c r="H205">
        <v>1995</v>
      </c>
      <c r="I205" t="s">
        <v>1115</v>
      </c>
      <c r="J205" t="s">
        <v>1115</v>
      </c>
      <c r="K205" t="s">
        <v>1115</v>
      </c>
      <c r="L205" t="s">
        <v>1115</v>
      </c>
    </row>
    <row r="206" spans="1:12" x14ac:dyDescent="0.35">
      <c r="A206" s="27" t="s">
        <v>713</v>
      </c>
      <c r="B206" t="s">
        <v>473</v>
      </c>
      <c r="C206" t="s">
        <v>1080</v>
      </c>
      <c r="D206" t="s">
        <v>257</v>
      </c>
      <c r="E206" t="s">
        <v>1280</v>
      </c>
      <c r="F206" t="s">
        <v>914</v>
      </c>
      <c r="G206" t="s">
        <v>1086</v>
      </c>
      <c r="H206">
        <v>2002</v>
      </c>
      <c r="I206" t="s">
        <v>1115</v>
      </c>
      <c r="J206" t="s">
        <v>1115</v>
      </c>
      <c r="K206" t="s">
        <v>1115</v>
      </c>
      <c r="L206" t="s">
        <v>1115</v>
      </c>
    </row>
    <row r="207" spans="1:12" x14ac:dyDescent="0.35">
      <c r="A207" s="27" t="s">
        <v>713</v>
      </c>
      <c r="B207" t="s">
        <v>401</v>
      </c>
      <c r="C207" t="s">
        <v>1080</v>
      </c>
      <c r="D207" t="s">
        <v>46</v>
      </c>
      <c r="E207" t="s">
        <v>1280</v>
      </c>
      <c r="F207" t="s">
        <v>923</v>
      </c>
      <c r="G207" t="s">
        <v>1106</v>
      </c>
      <c r="H207">
        <v>1986</v>
      </c>
      <c r="I207" t="s">
        <v>1115</v>
      </c>
      <c r="J207" t="s">
        <v>1115</v>
      </c>
      <c r="K207" t="s">
        <v>1115</v>
      </c>
      <c r="L207" t="s">
        <v>1115</v>
      </c>
    </row>
    <row r="208" spans="1:12" x14ac:dyDescent="0.35">
      <c r="A208" s="19" t="s">
        <v>878</v>
      </c>
      <c r="B208" t="s">
        <v>546</v>
      </c>
      <c r="C208" t="s">
        <v>1080</v>
      </c>
      <c r="D208" t="s">
        <v>311</v>
      </c>
      <c r="E208" t="s">
        <v>511</v>
      </c>
      <c r="F208" t="s">
        <v>487</v>
      </c>
      <c r="G208" t="s">
        <v>528</v>
      </c>
      <c r="H208" t="s">
        <v>1115</v>
      </c>
      <c r="I208" t="s">
        <v>1115</v>
      </c>
      <c r="J208" t="s">
        <v>1115</v>
      </c>
      <c r="K208" t="s">
        <v>1115</v>
      </c>
      <c r="L208" t="s">
        <v>1115</v>
      </c>
    </row>
    <row r="209" spans="1:12" x14ac:dyDescent="0.35">
      <c r="A209" s="27" t="s">
        <v>713</v>
      </c>
      <c r="B209" t="s">
        <v>353</v>
      </c>
      <c r="C209" t="s">
        <v>1080</v>
      </c>
      <c r="D209" t="s">
        <v>311</v>
      </c>
      <c r="E209" t="s">
        <v>511</v>
      </c>
      <c r="F209" t="s">
        <v>487</v>
      </c>
      <c r="G209" t="s">
        <v>528</v>
      </c>
      <c r="H209">
        <v>1999</v>
      </c>
      <c r="I209" t="s">
        <v>1115</v>
      </c>
      <c r="J209" t="s">
        <v>1115</v>
      </c>
      <c r="K209" t="s">
        <v>1115</v>
      </c>
      <c r="L209" t="s">
        <v>1115</v>
      </c>
    </row>
    <row r="210" spans="1:12" x14ac:dyDescent="0.35">
      <c r="A210" s="25" t="s">
        <v>1122</v>
      </c>
      <c r="B210" t="s">
        <v>1115</v>
      </c>
      <c r="C210" t="s">
        <v>1221</v>
      </c>
      <c r="D210" t="s">
        <v>1132</v>
      </c>
      <c r="E210" t="s">
        <v>1192</v>
      </c>
      <c r="F210" t="s">
        <v>917</v>
      </c>
      <c r="G210" t="s">
        <v>913</v>
      </c>
      <c r="H210">
        <v>1985</v>
      </c>
      <c r="I210" t="s">
        <v>918</v>
      </c>
      <c r="J210">
        <v>185</v>
      </c>
      <c r="K210">
        <v>75</v>
      </c>
      <c r="L210" s="3" t="s">
        <v>1115</v>
      </c>
    </row>
    <row r="211" spans="1:12" x14ac:dyDescent="0.35">
      <c r="A211" s="27" t="s">
        <v>713</v>
      </c>
      <c r="B211" t="s">
        <v>351</v>
      </c>
      <c r="C211" t="s">
        <v>1080</v>
      </c>
      <c r="D211" t="s">
        <v>118</v>
      </c>
      <c r="E211" t="s">
        <v>1240</v>
      </c>
      <c r="F211" t="s">
        <v>914</v>
      </c>
      <c r="G211" t="s">
        <v>528</v>
      </c>
      <c r="H211">
        <v>1997</v>
      </c>
      <c r="I211" t="s">
        <v>1115</v>
      </c>
      <c r="J211" t="s">
        <v>1115</v>
      </c>
      <c r="K211" t="s">
        <v>1115</v>
      </c>
      <c r="L211" t="s">
        <v>1115</v>
      </c>
    </row>
    <row r="212" spans="1:12" x14ac:dyDescent="0.35">
      <c r="A212" s="25" t="s">
        <v>1122</v>
      </c>
      <c r="B212" t="s">
        <v>1115</v>
      </c>
      <c r="C212" t="s">
        <v>1221</v>
      </c>
      <c r="D212" t="s">
        <v>1153</v>
      </c>
      <c r="E212" t="s">
        <v>1202</v>
      </c>
      <c r="F212" t="s">
        <v>923</v>
      </c>
      <c r="G212" t="s">
        <v>535</v>
      </c>
      <c r="H212">
        <v>1990</v>
      </c>
      <c r="I212" t="s">
        <v>927</v>
      </c>
      <c r="J212">
        <v>140</v>
      </c>
      <c r="K212">
        <v>25</v>
      </c>
      <c r="L212" s="3" t="s">
        <v>1115</v>
      </c>
    </row>
    <row r="213" spans="1:12" x14ac:dyDescent="0.35">
      <c r="A213" s="27" t="s">
        <v>713</v>
      </c>
      <c r="B213" t="s">
        <v>335</v>
      </c>
      <c r="C213" t="s">
        <v>1080</v>
      </c>
      <c r="D213" t="s">
        <v>176</v>
      </c>
      <c r="E213" t="s">
        <v>1227</v>
      </c>
      <c r="F213" t="s">
        <v>914</v>
      </c>
      <c r="G213" t="s">
        <v>527</v>
      </c>
      <c r="H213">
        <v>1989</v>
      </c>
      <c r="I213" t="s">
        <v>1115</v>
      </c>
      <c r="J213" t="s">
        <v>1115</v>
      </c>
      <c r="K213" t="s">
        <v>1115</v>
      </c>
      <c r="L213" t="s">
        <v>1115</v>
      </c>
    </row>
    <row r="214" spans="1:12" x14ac:dyDescent="0.35">
      <c r="A214" s="27" t="s">
        <v>713</v>
      </c>
      <c r="B214" t="s">
        <v>380</v>
      </c>
      <c r="C214" t="s">
        <v>1080</v>
      </c>
      <c r="D214" t="s">
        <v>219</v>
      </c>
      <c r="E214" t="s">
        <v>1262</v>
      </c>
      <c r="F214" t="s">
        <v>914</v>
      </c>
      <c r="G214" t="s">
        <v>531</v>
      </c>
      <c r="H214">
        <v>1998</v>
      </c>
      <c r="I214" t="s">
        <v>1115</v>
      </c>
      <c r="J214" t="s">
        <v>1115</v>
      </c>
      <c r="K214" t="s">
        <v>1115</v>
      </c>
      <c r="L214" t="s">
        <v>1115</v>
      </c>
    </row>
    <row r="215" spans="1:12" x14ac:dyDescent="0.35">
      <c r="A215" s="27" t="s">
        <v>713</v>
      </c>
      <c r="B215" t="s">
        <v>409</v>
      </c>
      <c r="C215" t="s">
        <v>1080</v>
      </c>
      <c r="D215" t="s">
        <v>300</v>
      </c>
      <c r="E215" t="s">
        <v>1287</v>
      </c>
      <c r="F215" t="s">
        <v>914</v>
      </c>
      <c r="G215" t="s">
        <v>1106</v>
      </c>
      <c r="H215">
        <v>2002</v>
      </c>
      <c r="I215" t="s">
        <v>1115</v>
      </c>
      <c r="J215" t="s">
        <v>1115</v>
      </c>
      <c r="K215" t="s">
        <v>1115</v>
      </c>
      <c r="L215" t="s">
        <v>1115</v>
      </c>
    </row>
    <row r="216" spans="1:12" x14ac:dyDescent="0.35">
      <c r="A216" s="27" t="s">
        <v>713</v>
      </c>
      <c r="B216" t="s">
        <v>456</v>
      </c>
      <c r="C216" t="s">
        <v>1080</v>
      </c>
      <c r="D216" t="s">
        <v>163</v>
      </c>
      <c r="E216" t="s">
        <v>1329</v>
      </c>
      <c r="F216" t="s">
        <v>914</v>
      </c>
      <c r="G216" t="s">
        <v>1105</v>
      </c>
      <c r="H216">
        <v>1985</v>
      </c>
      <c r="I216" t="s">
        <v>1115</v>
      </c>
      <c r="J216" t="s">
        <v>1115</v>
      </c>
      <c r="K216" t="s">
        <v>1115</v>
      </c>
      <c r="L216" t="s">
        <v>1115</v>
      </c>
    </row>
    <row r="217" spans="1:12" x14ac:dyDescent="0.35">
      <c r="A217" s="27" t="s">
        <v>713</v>
      </c>
      <c r="B217" t="s">
        <v>396</v>
      </c>
      <c r="C217" t="s">
        <v>1080</v>
      </c>
      <c r="D217" t="s">
        <v>144</v>
      </c>
      <c r="E217" t="s">
        <v>1275</v>
      </c>
      <c r="F217" t="s">
        <v>923</v>
      </c>
      <c r="G217" t="s">
        <v>1364</v>
      </c>
      <c r="H217">
        <v>1994</v>
      </c>
      <c r="I217" t="s">
        <v>1115</v>
      </c>
      <c r="J217" t="s">
        <v>1115</v>
      </c>
      <c r="K217" t="s">
        <v>1115</v>
      </c>
      <c r="L217" t="s">
        <v>1115</v>
      </c>
    </row>
    <row r="218" spans="1:12" x14ac:dyDescent="0.35">
      <c r="A218" s="27" t="s">
        <v>713</v>
      </c>
      <c r="B218" t="s">
        <v>406</v>
      </c>
      <c r="C218" t="s">
        <v>1080</v>
      </c>
      <c r="D218" t="s">
        <v>83</v>
      </c>
      <c r="E218" t="s">
        <v>1120</v>
      </c>
      <c r="F218" t="s">
        <v>926</v>
      </c>
      <c r="G218" t="s">
        <v>1106</v>
      </c>
      <c r="H218">
        <v>1996</v>
      </c>
      <c r="I218" t="s">
        <v>1115</v>
      </c>
      <c r="J218" t="s">
        <v>1115</v>
      </c>
      <c r="K218" t="s">
        <v>1115</v>
      </c>
      <c r="L218" t="s">
        <v>1115</v>
      </c>
    </row>
    <row r="219" spans="1:12" x14ac:dyDescent="0.35">
      <c r="A219" s="27" t="s">
        <v>713</v>
      </c>
      <c r="B219" t="s">
        <v>382</v>
      </c>
      <c r="C219" t="s">
        <v>1080</v>
      </c>
      <c r="D219" t="s">
        <v>234</v>
      </c>
      <c r="E219" t="s">
        <v>1264</v>
      </c>
      <c r="F219" t="s">
        <v>914</v>
      </c>
      <c r="G219" t="s">
        <v>531</v>
      </c>
      <c r="H219">
        <v>2001</v>
      </c>
      <c r="I219" t="s">
        <v>1115</v>
      </c>
      <c r="J219" t="s">
        <v>1115</v>
      </c>
      <c r="K219" t="s">
        <v>1115</v>
      </c>
      <c r="L219" t="s">
        <v>1115</v>
      </c>
    </row>
    <row r="220" spans="1:12" x14ac:dyDescent="0.35">
      <c r="A220" s="20" t="s">
        <v>1085</v>
      </c>
      <c r="B220" s="15">
        <v>18</v>
      </c>
      <c r="C220" t="s">
        <v>1080</v>
      </c>
      <c r="D220" t="s">
        <v>10</v>
      </c>
      <c r="E220" t="s">
        <v>1101</v>
      </c>
      <c r="F220" t="s">
        <v>7</v>
      </c>
      <c r="G220" t="s">
        <v>1086</v>
      </c>
      <c r="H220">
        <v>1985</v>
      </c>
      <c r="I220" t="s">
        <v>1115</v>
      </c>
      <c r="J220" t="s">
        <v>1115</v>
      </c>
      <c r="K220" t="s">
        <v>1115</v>
      </c>
      <c r="L220" t="s">
        <v>1115</v>
      </c>
    </row>
    <row r="221" spans="1:12" x14ac:dyDescent="0.35">
      <c r="A221" s="27" t="s">
        <v>713</v>
      </c>
      <c r="B221" t="s">
        <v>465</v>
      </c>
      <c r="C221" t="s">
        <v>1080</v>
      </c>
      <c r="D221" t="s">
        <v>10</v>
      </c>
      <c r="E221" t="s">
        <v>1101</v>
      </c>
      <c r="F221" t="s">
        <v>914</v>
      </c>
      <c r="G221" t="s">
        <v>1086</v>
      </c>
      <c r="H221">
        <v>1985</v>
      </c>
      <c r="I221" t="s">
        <v>1115</v>
      </c>
      <c r="J221" t="s">
        <v>1115</v>
      </c>
      <c r="K221" t="s">
        <v>1115</v>
      </c>
      <c r="L221" t="s">
        <v>1115</v>
      </c>
    </row>
    <row r="222" spans="1:12" x14ac:dyDescent="0.35">
      <c r="A222" s="20" t="s">
        <v>1085</v>
      </c>
      <c r="B222" s="15">
        <v>15</v>
      </c>
      <c r="C222" t="s">
        <v>1080</v>
      </c>
      <c r="D222" t="s">
        <v>574</v>
      </c>
      <c r="E222" t="s">
        <v>1101</v>
      </c>
      <c r="F222" t="s">
        <v>7</v>
      </c>
      <c r="G222" t="s">
        <v>531</v>
      </c>
      <c r="H222">
        <v>1976</v>
      </c>
      <c r="I222" t="s">
        <v>1115</v>
      </c>
      <c r="J222" t="s">
        <v>1115</v>
      </c>
      <c r="K222" t="s">
        <v>1115</v>
      </c>
      <c r="L222" t="s">
        <v>1115</v>
      </c>
    </row>
    <row r="223" spans="1:12" x14ac:dyDescent="0.35">
      <c r="A223" s="22" t="s">
        <v>1119</v>
      </c>
      <c r="B223" t="s">
        <v>1115</v>
      </c>
      <c r="C223" t="s">
        <v>1080</v>
      </c>
      <c r="D223" s="2" t="str">
        <f>PROPER(Tab4_BlessuresJoueurs!A13)</f>
        <v>Moïse</v>
      </c>
      <c r="E223" s="2" t="str">
        <f>UPPER(Tab4_BlessuresJoueurs!B13)</f>
        <v>SAHI DION</v>
      </c>
      <c r="F223" t="s">
        <v>1115</v>
      </c>
      <c r="G223" t="s">
        <v>1115</v>
      </c>
      <c r="H223" t="s">
        <v>1115</v>
      </c>
      <c r="I223" t="s">
        <v>1115</v>
      </c>
      <c r="J223" t="s">
        <v>1115</v>
      </c>
      <c r="K223" t="s">
        <v>1115</v>
      </c>
      <c r="L223" s="3" t="s">
        <v>619</v>
      </c>
    </row>
    <row r="224" spans="1:12" x14ac:dyDescent="0.35">
      <c r="A224" s="22" t="s">
        <v>1119</v>
      </c>
      <c r="B224" t="s">
        <v>1115</v>
      </c>
      <c r="C224" t="s">
        <v>1080</v>
      </c>
      <c r="D224" s="2" t="str">
        <f>PROPER(Tab4_BlessuresJoueurs!A48)</f>
        <v>Moïse</v>
      </c>
      <c r="E224" s="2" t="str">
        <f>UPPER(Tab4_BlessuresJoueurs!B48)</f>
        <v>SAHI DION</v>
      </c>
      <c r="F224" t="s">
        <v>1115</v>
      </c>
      <c r="G224" t="s">
        <v>1115</v>
      </c>
      <c r="H224" t="s">
        <v>1115</v>
      </c>
      <c r="I224" t="s">
        <v>1115</v>
      </c>
      <c r="J224" t="s">
        <v>1115</v>
      </c>
      <c r="K224" t="s">
        <v>1115</v>
      </c>
      <c r="L224" s="3" t="s">
        <v>672</v>
      </c>
    </row>
    <row r="225" spans="1:12" x14ac:dyDescent="0.35">
      <c r="A225" s="27" t="s">
        <v>713</v>
      </c>
      <c r="B225" t="s">
        <v>397</v>
      </c>
      <c r="C225" t="s">
        <v>1080</v>
      </c>
      <c r="D225" t="s">
        <v>31</v>
      </c>
      <c r="E225" t="s">
        <v>1276</v>
      </c>
      <c r="F225" t="s">
        <v>914</v>
      </c>
      <c r="G225" t="s">
        <v>1365</v>
      </c>
      <c r="H225">
        <v>1992</v>
      </c>
      <c r="I225" t="s">
        <v>1115</v>
      </c>
      <c r="J225" t="s">
        <v>1115</v>
      </c>
      <c r="K225" t="s">
        <v>1115</v>
      </c>
      <c r="L225" t="s">
        <v>1115</v>
      </c>
    </row>
    <row r="226" spans="1:12" x14ac:dyDescent="0.35">
      <c r="A226" s="27" t="s">
        <v>713</v>
      </c>
      <c r="B226" t="s">
        <v>340</v>
      </c>
      <c r="C226" t="s">
        <v>1080</v>
      </c>
      <c r="D226" t="s">
        <v>98</v>
      </c>
      <c r="E226" t="s">
        <v>1231</v>
      </c>
      <c r="F226" t="s">
        <v>914</v>
      </c>
      <c r="G226" t="s">
        <v>527</v>
      </c>
      <c r="H226">
        <v>1996</v>
      </c>
      <c r="I226" t="s">
        <v>1115</v>
      </c>
      <c r="J226" t="s">
        <v>1115</v>
      </c>
      <c r="K226" t="s">
        <v>1115</v>
      </c>
      <c r="L226" t="s">
        <v>1115</v>
      </c>
    </row>
    <row r="227" spans="1:12" x14ac:dyDescent="0.35">
      <c r="A227" s="22" t="s">
        <v>1119</v>
      </c>
      <c r="B227" t="s">
        <v>1115</v>
      </c>
      <c r="C227" t="s">
        <v>1080</v>
      </c>
      <c r="D227" s="2" t="str">
        <f>PROPER(Tab4_BlessuresJoueurs!A12)</f>
        <v>Tiago</v>
      </c>
      <c r="E227" s="2" t="str">
        <f>UPPER(Tab4_BlessuresJoueurs!B12)</f>
        <v>SANTOS</v>
      </c>
      <c r="F227" t="s">
        <v>1115</v>
      </c>
      <c r="G227" t="s">
        <v>1115</v>
      </c>
      <c r="H227" t="s">
        <v>1115</v>
      </c>
      <c r="I227" t="s">
        <v>1115</v>
      </c>
      <c r="J227" t="s">
        <v>1115</v>
      </c>
      <c r="K227" t="s">
        <v>1115</v>
      </c>
      <c r="L227" s="3" t="s">
        <v>614</v>
      </c>
    </row>
    <row r="228" spans="1:12" x14ac:dyDescent="0.35">
      <c r="A228" s="22" t="s">
        <v>1119</v>
      </c>
      <c r="B228" t="s">
        <v>1115</v>
      </c>
      <c r="C228" t="s">
        <v>1080</v>
      </c>
      <c r="D228" s="2" t="str">
        <f>PROPER(Tab4_BlessuresJoueurs!A47)</f>
        <v>Tiago</v>
      </c>
      <c r="E228" s="2" t="str">
        <f>UPPER(Tab4_BlessuresJoueurs!B47)</f>
        <v>SANTOS</v>
      </c>
      <c r="F228" t="s">
        <v>1115</v>
      </c>
      <c r="G228" t="s">
        <v>1115</v>
      </c>
      <c r="H228" t="s">
        <v>1115</v>
      </c>
      <c r="I228" t="s">
        <v>1115</v>
      </c>
      <c r="J228" t="s">
        <v>1115</v>
      </c>
      <c r="K228" t="s">
        <v>1115</v>
      </c>
      <c r="L228" s="3" t="s">
        <v>671</v>
      </c>
    </row>
    <row r="229" spans="1:12" x14ac:dyDescent="0.35">
      <c r="A229" s="27" t="s">
        <v>713</v>
      </c>
      <c r="B229" t="s">
        <v>449</v>
      </c>
      <c r="C229" t="s">
        <v>1080</v>
      </c>
      <c r="D229" t="s">
        <v>78</v>
      </c>
      <c r="E229" t="s">
        <v>1323</v>
      </c>
      <c r="F229" t="s">
        <v>923</v>
      </c>
      <c r="G229" t="s">
        <v>536</v>
      </c>
      <c r="H229">
        <v>2004</v>
      </c>
      <c r="I229" t="s">
        <v>1115</v>
      </c>
      <c r="J229" t="s">
        <v>1115</v>
      </c>
      <c r="K229" t="s">
        <v>1115</v>
      </c>
      <c r="L229" t="s">
        <v>1115</v>
      </c>
    </row>
    <row r="230" spans="1:12" x14ac:dyDescent="0.35">
      <c r="A230" s="22" t="s">
        <v>1119</v>
      </c>
      <c r="B230" t="s">
        <v>1115</v>
      </c>
      <c r="C230" t="s">
        <v>1080</v>
      </c>
      <c r="D230" s="2" t="str">
        <f>PROPER(Tab4_BlessuresJoueurs!A6)</f>
        <v>Gianluca</v>
      </c>
      <c r="E230" s="2" t="str">
        <f>UPPER(Tab4_BlessuresJoueurs!B6)</f>
        <v>SCAMACCA</v>
      </c>
      <c r="F230" t="s">
        <v>1115</v>
      </c>
      <c r="G230" t="s">
        <v>1115</v>
      </c>
      <c r="H230" t="s">
        <v>1115</v>
      </c>
      <c r="I230" t="s">
        <v>1115</v>
      </c>
      <c r="J230" t="s">
        <v>1115</v>
      </c>
      <c r="K230" t="s">
        <v>1115</v>
      </c>
      <c r="L230" s="3" t="s">
        <v>596</v>
      </c>
    </row>
    <row r="231" spans="1:12" x14ac:dyDescent="0.35">
      <c r="A231" s="22" t="s">
        <v>1119</v>
      </c>
      <c r="B231" t="s">
        <v>1115</v>
      </c>
      <c r="C231" t="s">
        <v>1080</v>
      </c>
      <c r="D231" s="2" t="str">
        <f>PROPER(Tab4_BlessuresJoueurs!A41)</f>
        <v>Gianluca</v>
      </c>
      <c r="E231" s="2" t="str">
        <f>UPPER(Tab4_BlessuresJoueurs!B41)</f>
        <v>SCAMACCA</v>
      </c>
      <c r="F231" t="s">
        <v>1115</v>
      </c>
      <c r="G231" t="s">
        <v>1115</v>
      </c>
      <c r="H231" t="s">
        <v>1115</v>
      </c>
      <c r="I231" t="s">
        <v>1115</v>
      </c>
      <c r="J231" t="s">
        <v>1115</v>
      </c>
      <c r="K231" t="s">
        <v>1115</v>
      </c>
      <c r="L231" s="3" t="s">
        <v>671</v>
      </c>
    </row>
    <row r="232" spans="1:12" x14ac:dyDescent="0.35">
      <c r="A232" s="20" t="s">
        <v>1085</v>
      </c>
      <c r="B232" s="15">
        <v>11</v>
      </c>
      <c r="C232" t="s">
        <v>1080</v>
      </c>
      <c r="D232" t="s">
        <v>587</v>
      </c>
      <c r="E232" t="s">
        <v>1097</v>
      </c>
      <c r="F232" t="s">
        <v>42</v>
      </c>
      <c r="G232" t="s">
        <v>1107</v>
      </c>
      <c r="H232">
        <v>1963</v>
      </c>
      <c r="I232" t="s">
        <v>1115</v>
      </c>
      <c r="J232" t="s">
        <v>1115</v>
      </c>
      <c r="K232" t="s">
        <v>1115</v>
      </c>
      <c r="L232" t="s">
        <v>1115</v>
      </c>
    </row>
    <row r="233" spans="1:12" x14ac:dyDescent="0.35">
      <c r="A233" s="27" t="s">
        <v>713</v>
      </c>
      <c r="B233" t="s">
        <v>462</v>
      </c>
      <c r="C233" t="s">
        <v>1080</v>
      </c>
      <c r="D233" t="s">
        <v>153</v>
      </c>
      <c r="E233" t="s">
        <v>1335</v>
      </c>
      <c r="F233" t="s">
        <v>926</v>
      </c>
      <c r="G233" t="s">
        <v>1105</v>
      </c>
      <c r="H233">
        <v>2004</v>
      </c>
      <c r="I233" t="s">
        <v>1115</v>
      </c>
      <c r="J233" t="s">
        <v>1115</v>
      </c>
      <c r="K233" t="s">
        <v>1115</v>
      </c>
      <c r="L233" t="s">
        <v>1115</v>
      </c>
    </row>
    <row r="234" spans="1:12" x14ac:dyDescent="0.35">
      <c r="A234" s="25" t="s">
        <v>1122</v>
      </c>
      <c r="B234" t="s">
        <v>1115</v>
      </c>
      <c r="C234" t="s">
        <v>1221</v>
      </c>
      <c r="D234" t="s">
        <v>1143</v>
      </c>
      <c r="E234" t="s">
        <v>1197</v>
      </c>
      <c r="F234" t="s">
        <v>914</v>
      </c>
      <c r="G234" t="s">
        <v>1125</v>
      </c>
      <c r="H234">
        <v>1983</v>
      </c>
      <c r="I234" t="s">
        <v>931</v>
      </c>
      <c r="J234">
        <v>300</v>
      </c>
      <c r="K234">
        <v>190</v>
      </c>
      <c r="L234" s="3" t="s">
        <v>1115</v>
      </c>
    </row>
    <row r="235" spans="1:12" x14ac:dyDescent="0.35">
      <c r="A235" s="19" t="s">
        <v>878</v>
      </c>
      <c r="B235" t="s">
        <v>560</v>
      </c>
      <c r="C235" t="s">
        <v>1080</v>
      </c>
      <c r="D235" t="s">
        <v>321</v>
      </c>
      <c r="E235" t="s">
        <v>525</v>
      </c>
      <c r="F235" t="s">
        <v>487</v>
      </c>
      <c r="G235" t="s">
        <v>540</v>
      </c>
      <c r="H235" t="s">
        <v>1115</v>
      </c>
      <c r="I235" t="s">
        <v>1115</v>
      </c>
      <c r="J235" t="s">
        <v>1115</v>
      </c>
      <c r="K235" t="s">
        <v>1115</v>
      </c>
      <c r="L235" t="s">
        <v>1115</v>
      </c>
    </row>
    <row r="236" spans="1:12" x14ac:dyDescent="0.35">
      <c r="A236" s="27" t="s">
        <v>713</v>
      </c>
      <c r="B236" t="s">
        <v>480</v>
      </c>
      <c r="C236" t="s">
        <v>1080</v>
      </c>
      <c r="D236" t="s">
        <v>321</v>
      </c>
      <c r="E236" t="s">
        <v>525</v>
      </c>
      <c r="F236" t="s">
        <v>487</v>
      </c>
      <c r="G236" t="s">
        <v>540</v>
      </c>
      <c r="H236">
        <v>1989</v>
      </c>
      <c r="I236" t="s">
        <v>1115</v>
      </c>
      <c r="J236" t="s">
        <v>1115</v>
      </c>
      <c r="K236" t="s">
        <v>1115</v>
      </c>
      <c r="L236" t="s">
        <v>1115</v>
      </c>
    </row>
    <row r="237" spans="1:12" x14ac:dyDescent="0.35">
      <c r="A237" s="27" t="s">
        <v>713</v>
      </c>
      <c r="B237" t="s">
        <v>388</v>
      </c>
      <c r="C237" t="s">
        <v>1080</v>
      </c>
      <c r="D237" t="s">
        <v>88</v>
      </c>
      <c r="E237" t="s">
        <v>1269</v>
      </c>
      <c r="F237" t="s">
        <v>914</v>
      </c>
      <c r="G237" t="s">
        <v>1361</v>
      </c>
      <c r="H237">
        <v>1992</v>
      </c>
      <c r="I237" t="s">
        <v>1115</v>
      </c>
      <c r="J237" t="s">
        <v>1115</v>
      </c>
      <c r="K237" t="s">
        <v>1115</v>
      </c>
      <c r="L237" t="s">
        <v>1115</v>
      </c>
    </row>
    <row r="238" spans="1:12" x14ac:dyDescent="0.35">
      <c r="A238" s="25" t="s">
        <v>1122</v>
      </c>
      <c r="B238" t="s">
        <v>1115</v>
      </c>
      <c r="C238" t="s">
        <v>1221</v>
      </c>
      <c r="D238" t="s">
        <v>1169</v>
      </c>
      <c r="E238" t="s">
        <v>1210</v>
      </c>
      <c r="F238" t="s">
        <v>926</v>
      </c>
      <c r="G238" t="s">
        <v>1128</v>
      </c>
      <c r="H238">
        <v>1991</v>
      </c>
      <c r="I238" t="s">
        <v>921</v>
      </c>
      <c r="J238">
        <v>145</v>
      </c>
      <c r="K238">
        <v>40</v>
      </c>
      <c r="L238" s="3" t="s">
        <v>1115</v>
      </c>
    </row>
    <row r="239" spans="1:12" x14ac:dyDescent="0.35">
      <c r="A239" s="27" t="s">
        <v>713</v>
      </c>
      <c r="B239" t="s">
        <v>443</v>
      </c>
      <c r="C239" t="s">
        <v>1080</v>
      </c>
      <c r="D239" t="s">
        <v>189</v>
      </c>
      <c r="E239" t="s">
        <v>1318</v>
      </c>
      <c r="F239" t="s">
        <v>923</v>
      </c>
      <c r="G239" t="s">
        <v>536</v>
      </c>
      <c r="H239">
        <v>1994</v>
      </c>
      <c r="I239" t="s">
        <v>1115</v>
      </c>
      <c r="J239" t="s">
        <v>1115</v>
      </c>
      <c r="K239" t="s">
        <v>1115</v>
      </c>
      <c r="L239" t="s">
        <v>1115</v>
      </c>
    </row>
    <row r="240" spans="1:12" x14ac:dyDescent="0.35">
      <c r="A240" s="27" t="s">
        <v>713</v>
      </c>
      <c r="B240" t="s">
        <v>350</v>
      </c>
      <c r="C240" t="s">
        <v>1080</v>
      </c>
      <c r="D240" t="s">
        <v>71</v>
      </c>
      <c r="E240" t="s">
        <v>1239</v>
      </c>
      <c r="F240" t="s">
        <v>914</v>
      </c>
      <c r="G240" t="s">
        <v>528</v>
      </c>
      <c r="H240">
        <v>1995</v>
      </c>
      <c r="I240" t="s">
        <v>1115</v>
      </c>
      <c r="J240" t="s">
        <v>1115</v>
      </c>
      <c r="K240" t="s">
        <v>1115</v>
      </c>
      <c r="L240" t="s">
        <v>1115</v>
      </c>
    </row>
    <row r="241" spans="1:12" x14ac:dyDescent="0.35">
      <c r="A241" s="27" t="s">
        <v>713</v>
      </c>
      <c r="B241" t="s">
        <v>483</v>
      </c>
      <c r="C241" t="s">
        <v>1080</v>
      </c>
      <c r="D241" t="s">
        <v>58</v>
      </c>
      <c r="E241" t="s">
        <v>1350</v>
      </c>
      <c r="F241" t="s">
        <v>914</v>
      </c>
      <c r="G241" t="s">
        <v>1374</v>
      </c>
      <c r="H241">
        <v>1987</v>
      </c>
      <c r="I241" t="s">
        <v>1115</v>
      </c>
      <c r="J241" t="s">
        <v>1115</v>
      </c>
      <c r="K241" t="s">
        <v>1115</v>
      </c>
      <c r="L241" t="s">
        <v>1115</v>
      </c>
    </row>
    <row r="242" spans="1:12" x14ac:dyDescent="0.35">
      <c r="A242" s="19" t="s">
        <v>878</v>
      </c>
      <c r="B242" t="s">
        <v>558</v>
      </c>
      <c r="C242" t="s">
        <v>1080</v>
      </c>
      <c r="D242" t="s">
        <v>315</v>
      </c>
      <c r="E242" t="s">
        <v>523</v>
      </c>
      <c r="F242" t="s">
        <v>487</v>
      </c>
      <c r="G242" t="s">
        <v>538</v>
      </c>
      <c r="H242" t="s">
        <v>1115</v>
      </c>
      <c r="I242" t="s">
        <v>1115</v>
      </c>
      <c r="J242" t="s">
        <v>1115</v>
      </c>
      <c r="K242" t="s">
        <v>1115</v>
      </c>
      <c r="L242" t="s">
        <v>1115</v>
      </c>
    </row>
    <row r="243" spans="1:12" x14ac:dyDescent="0.35">
      <c r="A243" s="27" t="s">
        <v>713</v>
      </c>
      <c r="B243" t="s">
        <v>464</v>
      </c>
      <c r="C243" t="s">
        <v>1080</v>
      </c>
      <c r="D243" t="s">
        <v>315</v>
      </c>
      <c r="E243" t="s">
        <v>523</v>
      </c>
      <c r="F243" t="s">
        <v>487</v>
      </c>
      <c r="G243" t="s">
        <v>538</v>
      </c>
      <c r="H243">
        <v>1991</v>
      </c>
      <c r="I243" t="s">
        <v>1115</v>
      </c>
      <c r="J243" t="s">
        <v>1115</v>
      </c>
      <c r="K243" t="s">
        <v>1115</v>
      </c>
      <c r="L243" t="s">
        <v>1115</v>
      </c>
    </row>
    <row r="244" spans="1:12" x14ac:dyDescent="0.35">
      <c r="A244" s="27" t="s">
        <v>713</v>
      </c>
      <c r="B244" t="s">
        <v>435</v>
      </c>
      <c r="C244" t="s">
        <v>1080</v>
      </c>
      <c r="D244" t="s">
        <v>248</v>
      </c>
      <c r="E244" t="s">
        <v>1310</v>
      </c>
      <c r="F244" t="s">
        <v>926</v>
      </c>
      <c r="G244" t="s">
        <v>1369</v>
      </c>
      <c r="H244">
        <v>2001</v>
      </c>
      <c r="I244" t="s">
        <v>1115</v>
      </c>
      <c r="J244" t="s">
        <v>1115</v>
      </c>
      <c r="K244" t="s">
        <v>1115</v>
      </c>
      <c r="L244" t="s">
        <v>1115</v>
      </c>
    </row>
    <row r="245" spans="1:12" x14ac:dyDescent="0.35">
      <c r="A245" s="27" t="s">
        <v>713</v>
      </c>
      <c r="B245" t="s">
        <v>475</v>
      </c>
      <c r="C245" t="s">
        <v>1080</v>
      </c>
      <c r="D245" t="s">
        <v>126</v>
      </c>
      <c r="E245" t="s">
        <v>1345</v>
      </c>
      <c r="F245" t="s">
        <v>926</v>
      </c>
      <c r="G245" t="s">
        <v>1372</v>
      </c>
      <c r="H245">
        <v>1989</v>
      </c>
      <c r="I245" t="s">
        <v>1115</v>
      </c>
      <c r="J245" t="s">
        <v>1115</v>
      </c>
      <c r="K245" t="s">
        <v>1115</v>
      </c>
      <c r="L245" t="s">
        <v>1115</v>
      </c>
    </row>
    <row r="246" spans="1:12" x14ac:dyDescent="0.35">
      <c r="A246" s="20" t="s">
        <v>1085</v>
      </c>
      <c r="B246" s="15">
        <v>12</v>
      </c>
      <c r="C246" t="s">
        <v>1080</v>
      </c>
      <c r="D246" t="s">
        <v>594</v>
      </c>
      <c r="E246" t="s">
        <v>1098</v>
      </c>
      <c r="F246" t="s">
        <v>42</v>
      </c>
      <c r="G246" t="s">
        <v>531</v>
      </c>
      <c r="H246">
        <v>1966</v>
      </c>
      <c r="I246" t="s">
        <v>1115</v>
      </c>
      <c r="J246" t="s">
        <v>1115</v>
      </c>
      <c r="K246" t="s">
        <v>1115</v>
      </c>
      <c r="L246" t="s">
        <v>1115</v>
      </c>
    </row>
    <row r="247" spans="1:12" x14ac:dyDescent="0.35">
      <c r="A247" s="27" t="s">
        <v>713</v>
      </c>
      <c r="B247" t="s">
        <v>430</v>
      </c>
      <c r="C247" t="s">
        <v>1080</v>
      </c>
      <c r="D247" t="s">
        <v>208</v>
      </c>
      <c r="E247" t="s">
        <v>1306</v>
      </c>
      <c r="F247" t="s">
        <v>926</v>
      </c>
      <c r="G247" t="s">
        <v>535</v>
      </c>
      <c r="H247">
        <v>2001</v>
      </c>
      <c r="I247" t="s">
        <v>1115</v>
      </c>
      <c r="J247" t="s">
        <v>1115</v>
      </c>
      <c r="K247" t="s">
        <v>1115</v>
      </c>
      <c r="L247" t="s">
        <v>1115</v>
      </c>
    </row>
    <row r="248" spans="1:12" x14ac:dyDescent="0.35">
      <c r="A248" s="27" t="s">
        <v>713</v>
      </c>
      <c r="B248" t="s">
        <v>431</v>
      </c>
      <c r="C248" t="s">
        <v>1080</v>
      </c>
      <c r="D248" t="s">
        <v>208</v>
      </c>
      <c r="E248" t="s">
        <v>1306</v>
      </c>
      <c r="F248" t="s">
        <v>926</v>
      </c>
      <c r="G248" t="s">
        <v>535</v>
      </c>
      <c r="H248">
        <v>2002</v>
      </c>
      <c r="I248" t="s">
        <v>1115</v>
      </c>
      <c r="J248" t="s">
        <v>1115</v>
      </c>
      <c r="K248" t="s">
        <v>1115</v>
      </c>
      <c r="L248" t="s">
        <v>1115</v>
      </c>
    </row>
    <row r="249" spans="1:12" x14ac:dyDescent="0.35">
      <c r="A249" s="19" t="s">
        <v>878</v>
      </c>
      <c r="B249" t="s">
        <v>543</v>
      </c>
      <c r="C249" t="s">
        <v>1080</v>
      </c>
      <c r="D249" t="s">
        <v>304</v>
      </c>
      <c r="E249" t="s">
        <v>508</v>
      </c>
      <c r="F249" t="s">
        <v>487</v>
      </c>
      <c r="G249" t="s">
        <v>527</v>
      </c>
      <c r="H249" t="s">
        <v>1115</v>
      </c>
      <c r="I249" t="s">
        <v>1115</v>
      </c>
      <c r="J249" t="s">
        <v>1115</v>
      </c>
      <c r="K249" t="s">
        <v>1115</v>
      </c>
      <c r="L249" t="s">
        <v>1115</v>
      </c>
    </row>
    <row r="250" spans="1:12" x14ac:dyDescent="0.35">
      <c r="A250" s="22" t="s">
        <v>1119</v>
      </c>
      <c r="B250" t="s">
        <v>1115</v>
      </c>
      <c r="C250" t="s">
        <v>1080</v>
      </c>
      <c r="D250" s="2" t="str">
        <f>PROPER(Tab4_BlessuresJoueurs!A36)</f>
        <v>Marc-André</v>
      </c>
      <c r="E250" s="2" t="str">
        <f>UPPER(Tab4_BlessuresJoueurs!B36)</f>
        <v>TER STEGEN</v>
      </c>
      <c r="F250" t="s">
        <v>1115</v>
      </c>
      <c r="G250" t="s">
        <v>1115</v>
      </c>
      <c r="H250" t="s">
        <v>1115</v>
      </c>
      <c r="I250" t="s">
        <v>1115</v>
      </c>
      <c r="J250" t="s">
        <v>1115</v>
      </c>
      <c r="K250" t="s">
        <v>1115</v>
      </c>
      <c r="L250" s="3" t="s">
        <v>681</v>
      </c>
    </row>
    <row r="251" spans="1:12" x14ac:dyDescent="0.35">
      <c r="A251" s="27" t="s">
        <v>713</v>
      </c>
      <c r="B251" t="s">
        <v>338</v>
      </c>
      <c r="C251" t="s">
        <v>1080</v>
      </c>
      <c r="D251" t="s">
        <v>304</v>
      </c>
      <c r="E251" t="s">
        <v>508</v>
      </c>
      <c r="F251" t="s">
        <v>487</v>
      </c>
      <c r="G251" t="s">
        <v>527</v>
      </c>
      <c r="H251">
        <v>1993</v>
      </c>
      <c r="I251" t="s">
        <v>1115</v>
      </c>
      <c r="J251" t="s">
        <v>1115</v>
      </c>
      <c r="K251" t="s">
        <v>1115</v>
      </c>
      <c r="L251" t="s">
        <v>1115</v>
      </c>
    </row>
    <row r="252" spans="1:12" x14ac:dyDescent="0.35">
      <c r="A252" s="27" t="s">
        <v>713</v>
      </c>
      <c r="B252" t="s">
        <v>372</v>
      </c>
      <c r="C252" t="s">
        <v>1080</v>
      </c>
      <c r="D252" t="s">
        <v>65</v>
      </c>
      <c r="E252" t="s">
        <v>1256</v>
      </c>
      <c r="F252" t="s">
        <v>923</v>
      </c>
      <c r="G252" t="s">
        <v>531</v>
      </c>
      <c r="H252">
        <v>1984</v>
      </c>
      <c r="I252" t="s">
        <v>1115</v>
      </c>
      <c r="J252" t="s">
        <v>1115</v>
      </c>
      <c r="K252" t="s">
        <v>1115</v>
      </c>
      <c r="L252" t="s">
        <v>1115</v>
      </c>
    </row>
    <row r="253" spans="1:12" x14ac:dyDescent="0.35">
      <c r="A253" s="27" t="s">
        <v>713</v>
      </c>
      <c r="B253" t="s">
        <v>459</v>
      </c>
      <c r="C253" t="s">
        <v>1080</v>
      </c>
      <c r="D253" t="s">
        <v>262</v>
      </c>
      <c r="E253" t="s">
        <v>1332</v>
      </c>
      <c r="F253" t="s">
        <v>923</v>
      </c>
      <c r="G253" t="s">
        <v>1105</v>
      </c>
      <c r="H253">
        <v>2002</v>
      </c>
      <c r="I253" t="s">
        <v>1115</v>
      </c>
      <c r="J253" t="s">
        <v>1115</v>
      </c>
      <c r="K253" t="s">
        <v>1115</v>
      </c>
      <c r="L253" t="s">
        <v>1115</v>
      </c>
    </row>
    <row r="254" spans="1:12" x14ac:dyDescent="0.35">
      <c r="A254" s="22" t="s">
        <v>1119</v>
      </c>
      <c r="B254" t="s">
        <v>1115</v>
      </c>
      <c r="C254" t="s">
        <v>1080</v>
      </c>
      <c r="D254" s="2" t="str">
        <f>PROPER(Tab4_BlessuresJoueurs!A14)</f>
        <v>Abdoulaye</v>
      </c>
      <c r="E254" s="2" t="str">
        <f>UPPER(Tab4_BlessuresJoueurs!B14)</f>
        <v>TOURÉ</v>
      </c>
      <c r="F254" t="s">
        <v>1115</v>
      </c>
      <c r="G254" t="s">
        <v>1115</v>
      </c>
      <c r="H254" t="s">
        <v>1115</v>
      </c>
      <c r="I254" t="s">
        <v>1115</v>
      </c>
      <c r="J254" t="s">
        <v>1115</v>
      </c>
      <c r="K254" t="s">
        <v>1115</v>
      </c>
      <c r="L254" s="3" t="s">
        <v>622</v>
      </c>
    </row>
    <row r="255" spans="1:12" x14ac:dyDescent="0.35">
      <c r="A255" s="22" t="s">
        <v>1119</v>
      </c>
      <c r="B255" t="s">
        <v>1115</v>
      </c>
      <c r="C255" t="s">
        <v>1080</v>
      </c>
      <c r="D255" s="2" t="str">
        <f>PROPER(Tab4_BlessuresJoueurs!A49)</f>
        <v>Abdoulaye</v>
      </c>
      <c r="E255" s="2" t="str">
        <f>UPPER(Tab4_BlessuresJoueurs!B49)</f>
        <v>TOURÉ</v>
      </c>
      <c r="F255" t="s">
        <v>1115</v>
      </c>
      <c r="G255" t="s">
        <v>1115</v>
      </c>
      <c r="H255" t="s">
        <v>1115</v>
      </c>
      <c r="I255" t="s">
        <v>1115</v>
      </c>
      <c r="J255" t="s">
        <v>1115</v>
      </c>
      <c r="K255" t="s">
        <v>1115</v>
      </c>
      <c r="L255" s="3" t="s">
        <v>673</v>
      </c>
    </row>
    <row r="256" spans="1:12" x14ac:dyDescent="0.35">
      <c r="A256" s="19" t="s">
        <v>878</v>
      </c>
      <c r="B256" t="s">
        <v>561</v>
      </c>
      <c r="C256" t="s">
        <v>1080</v>
      </c>
      <c r="D256" t="s">
        <v>329</v>
      </c>
      <c r="E256" t="s">
        <v>526</v>
      </c>
      <c r="F256" t="s">
        <v>487</v>
      </c>
      <c r="G256" t="s">
        <v>541</v>
      </c>
      <c r="H256" t="s">
        <v>1115</v>
      </c>
      <c r="I256" t="s">
        <v>1115</v>
      </c>
      <c r="J256" t="s">
        <v>1115</v>
      </c>
      <c r="K256" t="s">
        <v>1115</v>
      </c>
      <c r="L256" t="s">
        <v>1115</v>
      </c>
    </row>
    <row r="257" spans="1:12" x14ac:dyDescent="0.35">
      <c r="A257" s="27" t="s">
        <v>713</v>
      </c>
      <c r="B257" t="s">
        <v>482</v>
      </c>
      <c r="C257" t="s">
        <v>1080</v>
      </c>
      <c r="D257" t="s">
        <v>329</v>
      </c>
      <c r="E257" t="s">
        <v>526</v>
      </c>
      <c r="F257" t="s">
        <v>487</v>
      </c>
      <c r="G257" t="s">
        <v>541</v>
      </c>
      <c r="H257">
        <v>2002</v>
      </c>
      <c r="I257" t="s">
        <v>1115</v>
      </c>
      <c r="J257" t="s">
        <v>1115</v>
      </c>
      <c r="K257" t="s">
        <v>1115</v>
      </c>
      <c r="L257" t="s">
        <v>1115</v>
      </c>
    </row>
    <row r="258" spans="1:12" x14ac:dyDescent="0.35">
      <c r="A258" s="27" t="s">
        <v>713</v>
      </c>
      <c r="B258" t="s">
        <v>486</v>
      </c>
      <c r="C258" t="s">
        <v>1080</v>
      </c>
      <c r="D258" t="s">
        <v>67</v>
      </c>
      <c r="E258" t="s">
        <v>1353</v>
      </c>
      <c r="F258" t="s">
        <v>926</v>
      </c>
      <c r="G258" t="s">
        <v>1374</v>
      </c>
      <c r="H258">
        <v>2002</v>
      </c>
      <c r="I258" t="s">
        <v>1115</v>
      </c>
      <c r="J258" t="s">
        <v>1115</v>
      </c>
      <c r="K258" t="s">
        <v>1115</v>
      </c>
      <c r="L258" t="s">
        <v>1115</v>
      </c>
    </row>
    <row r="259" spans="1:12" x14ac:dyDescent="0.35">
      <c r="A259" s="22" t="s">
        <v>1119</v>
      </c>
      <c r="B259" t="s">
        <v>1115</v>
      </c>
      <c r="C259" t="s">
        <v>1080</v>
      </c>
      <c r="D259" s="2" t="str">
        <f>PROPER(Tab4_BlessuresJoueurs!A19)</f>
        <v>Samuel</v>
      </c>
      <c r="E259" s="2" t="str">
        <f>UPPER(Tab4_BlessuresJoueurs!B19)</f>
        <v>UMTITI</v>
      </c>
      <c r="F259" t="s">
        <v>1115</v>
      </c>
      <c r="G259" t="s">
        <v>1115</v>
      </c>
      <c r="H259" t="s">
        <v>1115</v>
      </c>
      <c r="I259" t="s">
        <v>1115</v>
      </c>
      <c r="J259" t="s">
        <v>1115</v>
      </c>
      <c r="K259" t="s">
        <v>1115</v>
      </c>
      <c r="L259" s="3" t="s">
        <v>635</v>
      </c>
    </row>
    <row r="260" spans="1:12" x14ac:dyDescent="0.35">
      <c r="A260" s="27" t="s">
        <v>713</v>
      </c>
      <c r="B260" t="s">
        <v>426</v>
      </c>
      <c r="C260" t="s">
        <v>1080</v>
      </c>
      <c r="D260" t="s">
        <v>214</v>
      </c>
      <c r="E260" t="s">
        <v>1302</v>
      </c>
      <c r="F260" t="s">
        <v>923</v>
      </c>
      <c r="G260" t="s">
        <v>535</v>
      </c>
      <c r="H260">
        <v>1998</v>
      </c>
      <c r="I260" t="s">
        <v>1115</v>
      </c>
      <c r="J260" t="s">
        <v>1115</v>
      </c>
      <c r="K260" t="s">
        <v>1115</v>
      </c>
      <c r="L260" t="s">
        <v>1115</v>
      </c>
    </row>
    <row r="261" spans="1:12" x14ac:dyDescent="0.35">
      <c r="A261" s="27" t="s">
        <v>713</v>
      </c>
      <c r="B261" t="s">
        <v>485</v>
      </c>
      <c r="C261" t="s">
        <v>1080</v>
      </c>
      <c r="D261" t="s">
        <v>114</v>
      </c>
      <c r="E261" t="s">
        <v>1352</v>
      </c>
      <c r="F261" t="s">
        <v>926</v>
      </c>
      <c r="G261" t="s">
        <v>1374</v>
      </c>
      <c r="H261">
        <v>1998</v>
      </c>
      <c r="I261" t="s">
        <v>1115</v>
      </c>
      <c r="J261" t="s">
        <v>1115</v>
      </c>
      <c r="K261" t="s">
        <v>1115</v>
      </c>
      <c r="L261" t="s">
        <v>1115</v>
      </c>
    </row>
    <row r="262" spans="1:12" x14ac:dyDescent="0.35">
      <c r="A262" s="27" t="s">
        <v>713</v>
      </c>
      <c r="B262" t="s">
        <v>457</v>
      </c>
      <c r="C262" t="s">
        <v>1080</v>
      </c>
      <c r="D262" t="s">
        <v>34</v>
      </c>
      <c r="E262" t="s">
        <v>1330</v>
      </c>
      <c r="F262" t="s">
        <v>923</v>
      </c>
      <c r="G262" t="s">
        <v>1105</v>
      </c>
      <c r="H262">
        <v>1991</v>
      </c>
      <c r="I262" t="s">
        <v>1115</v>
      </c>
      <c r="J262" t="s">
        <v>1115</v>
      </c>
      <c r="K262" t="s">
        <v>1115</v>
      </c>
      <c r="L262" t="s">
        <v>1115</v>
      </c>
    </row>
    <row r="263" spans="1:12" x14ac:dyDescent="0.35">
      <c r="A263" s="22" t="s">
        <v>1119</v>
      </c>
      <c r="B263" t="s">
        <v>1115</v>
      </c>
      <c r="C263" t="s">
        <v>1080</v>
      </c>
      <c r="D263" s="2" t="str">
        <f>PROPER(Tab4_BlessuresJoueurs!A33)</f>
        <v>Raphaël</v>
      </c>
      <c r="E263" s="2" t="str">
        <f>UPPER(Tab4_BlessuresJoueurs!B33)</f>
        <v>VARANE</v>
      </c>
      <c r="F263" t="s">
        <v>1115</v>
      </c>
      <c r="G263" t="s">
        <v>1115</v>
      </c>
      <c r="H263" t="s">
        <v>1115</v>
      </c>
      <c r="I263" t="s">
        <v>1115</v>
      </c>
      <c r="J263" t="s">
        <v>1115</v>
      </c>
      <c r="K263" t="s">
        <v>1115</v>
      </c>
      <c r="L263" s="3" t="s">
        <v>678</v>
      </c>
    </row>
    <row r="264" spans="1:12" x14ac:dyDescent="0.35">
      <c r="A264" s="27" t="s">
        <v>713</v>
      </c>
      <c r="B264" t="s">
        <v>422</v>
      </c>
      <c r="C264" t="s">
        <v>1080</v>
      </c>
      <c r="D264" t="s">
        <v>138</v>
      </c>
      <c r="E264" t="s">
        <v>1299</v>
      </c>
      <c r="F264" t="s">
        <v>923</v>
      </c>
      <c r="G264" t="s">
        <v>535</v>
      </c>
      <c r="H264">
        <v>1993</v>
      </c>
      <c r="I264" t="s">
        <v>1115</v>
      </c>
      <c r="J264" t="s">
        <v>1115</v>
      </c>
      <c r="K264" t="s">
        <v>1115</v>
      </c>
      <c r="L264" t="s">
        <v>1115</v>
      </c>
    </row>
    <row r="265" spans="1:12" x14ac:dyDescent="0.35">
      <c r="A265" s="27" t="s">
        <v>713</v>
      </c>
      <c r="B265" t="s">
        <v>442</v>
      </c>
      <c r="C265" t="s">
        <v>1080</v>
      </c>
      <c r="D265" t="s">
        <v>176</v>
      </c>
      <c r="E265" t="s">
        <v>1317</v>
      </c>
      <c r="F265" t="s">
        <v>926</v>
      </c>
      <c r="G265" t="s">
        <v>536</v>
      </c>
      <c r="H265">
        <v>1993</v>
      </c>
      <c r="I265" t="s">
        <v>1115</v>
      </c>
      <c r="J265" t="s">
        <v>1115</v>
      </c>
      <c r="K265" t="s">
        <v>1115</v>
      </c>
      <c r="L265" t="s">
        <v>1115</v>
      </c>
    </row>
    <row r="266" spans="1:12" x14ac:dyDescent="0.35">
      <c r="A266" s="25" t="s">
        <v>1122</v>
      </c>
      <c r="B266" t="s">
        <v>1115</v>
      </c>
      <c r="C266" t="s">
        <v>1221</v>
      </c>
      <c r="D266" t="s">
        <v>1140</v>
      </c>
      <c r="E266" t="s">
        <v>1196</v>
      </c>
      <c r="F266" t="s">
        <v>914</v>
      </c>
      <c r="G266" t="s">
        <v>531</v>
      </c>
      <c r="H266">
        <v>1986</v>
      </c>
      <c r="I266" t="s">
        <v>929</v>
      </c>
      <c r="J266">
        <v>180</v>
      </c>
      <c r="K266">
        <v>112</v>
      </c>
      <c r="L266" s="3" t="s">
        <v>1115</v>
      </c>
    </row>
    <row r="267" spans="1:12" x14ac:dyDescent="0.35">
      <c r="A267" s="27" t="s">
        <v>713</v>
      </c>
      <c r="B267" t="s">
        <v>383</v>
      </c>
      <c r="C267" t="s">
        <v>1080</v>
      </c>
      <c r="D267" t="s">
        <v>116</v>
      </c>
      <c r="E267" t="s">
        <v>1265</v>
      </c>
      <c r="F267" t="s">
        <v>914</v>
      </c>
      <c r="G267" t="s">
        <v>531</v>
      </c>
      <c r="H267">
        <v>2001</v>
      </c>
      <c r="I267" t="s">
        <v>1115</v>
      </c>
      <c r="J267" t="s">
        <v>1115</v>
      </c>
      <c r="K267" t="s">
        <v>1115</v>
      </c>
      <c r="L267" t="s">
        <v>1115</v>
      </c>
    </row>
    <row r="268" spans="1:12" x14ac:dyDescent="0.35">
      <c r="A268" s="27" t="s">
        <v>713</v>
      </c>
      <c r="B268" t="s">
        <v>472</v>
      </c>
      <c r="C268" t="s">
        <v>1080</v>
      </c>
      <c r="D268" t="s">
        <v>298</v>
      </c>
      <c r="E268" t="s">
        <v>1343</v>
      </c>
      <c r="F268" t="s">
        <v>926</v>
      </c>
      <c r="G268" t="s">
        <v>1086</v>
      </c>
      <c r="H268">
        <v>2001</v>
      </c>
      <c r="I268" t="s">
        <v>1115</v>
      </c>
      <c r="J268" t="s">
        <v>1115</v>
      </c>
      <c r="K268" t="s">
        <v>1115</v>
      </c>
      <c r="L268" t="s">
        <v>1115</v>
      </c>
    </row>
    <row r="269" spans="1:12" x14ac:dyDescent="0.35">
      <c r="A269" s="25" t="s">
        <v>1122</v>
      </c>
      <c r="B269" t="s">
        <v>1115</v>
      </c>
      <c r="C269" t="s">
        <v>1221</v>
      </c>
      <c r="D269" t="s">
        <v>1188</v>
      </c>
      <c r="E269" t="s">
        <v>1220</v>
      </c>
      <c r="F269" t="s">
        <v>923</v>
      </c>
      <c r="G269" t="s">
        <v>528</v>
      </c>
      <c r="H269">
        <v>1997</v>
      </c>
      <c r="I269" t="s">
        <v>934</v>
      </c>
      <c r="J269">
        <v>75</v>
      </c>
      <c r="K269">
        <v>5</v>
      </c>
      <c r="L269" s="3" t="s">
        <v>1115</v>
      </c>
    </row>
    <row r="270" spans="1:12" x14ac:dyDescent="0.35">
      <c r="A270" s="27" t="s">
        <v>713</v>
      </c>
      <c r="B270" t="s">
        <v>342</v>
      </c>
      <c r="C270" t="s">
        <v>1080</v>
      </c>
      <c r="D270" t="s">
        <v>231</v>
      </c>
      <c r="E270" t="s">
        <v>1233</v>
      </c>
      <c r="F270" t="s">
        <v>926</v>
      </c>
      <c r="G270" t="s">
        <v>527</v>
      </c>
      <c r="H270">
        <v>2003</v>
      </c>
      <c r="I270" t="s">
        <v>1115</v>
      </c>
      <c r="J270" t="s">
        <v>1115</v>
      </c>
      <c r="K270" t="s">
        <v>1115</v>
      </c>
      <c r="L270" t="s">
        <v>1115</v>
      </c>
    </row>
    <row r="271" spans="1:12" x14ac:dyDescent="0.35">
      <c r="A271" s="27" t="s">
        <v>713</v>
      </c>
      <c r="B271" t="s">
        <v>399</v>
      </c>
      <c r="C271" t="s">
        <v>1080</v>
      </c>
      <c r="D271" t="s">
        <v>154</v>
      </c>
      <c r="E271" t="s">
        <v>1278</v>
      </c>
      <c r="F271" t="s">
        <v>926</v>
      </c>
      <c r="G271" t="s">
        <v>1106</v>
      </c>
      <c r="H271">
        <v>1981</v>
      </c>
      <c r="I271" t="s">
        <v>1115</v>
      </c>
      <c r="J271" t="s">
        <v>1115</v>
      </c>
      <c r="K271" t="s">
        <v>1115</v>
      </c>
      <c r="L271" t="s">
        <v>1115</v>
      </c>
    </row>
    <row r="272" spans="1:12" x14ac:dyDescent="0.35">
      <c r="A272" s="27" t="s">
        <v>713</v>
      </c>
      <c r="B272" t="s">
        <v>415</v>
      </c>
      <c r="C272" t="s">
        <v>1080</v>
      </c>
      <c r="D272" t="s">
        <v>223</v>
      </c>
      <c r="E272" t="s">
        <v>1293</v>
      </c>
      <c r="F272" t="s">
        <v>914</v>
      </c>
      <c r="G272" t="s">
        <v>1106</v>
      </c>
      <c r="H272">
        <v>2008</v>
      </c>
      <c r="I272" t="s">
        <v>1115</v>
      </c>
      <c r="J272" t="s">
        <v>1115</v>
      </c>
      <c r="K272" t="s">
        <v>1115</v>
      </c>
      <c r="L272" t="s">
        <v>1115</v>
      </c>
    </row>
    <row r="273" spans="1:12" x14ac:dyDescent="0.35">
      <c r="A273" s="20" t="s">
        <v>1085</v>
      </c>
      <c r="B273" s="15">
        <v>2</v>
      </c>
      <c r="C273" t="s">
        <v>1080</v>
      </c>
      <c r="D273" t="s">
        <v>579</v>
      </c>
      <c r="E273" t="s">
        <v>1088</v>
      </c>
      <c r="F273" t="s">
        <v>42</v>
      </c>
      <c r="G273" t="s">
        <v>1111</v>
      </c>
      <c r="H273">
        <v>1929</v>
      </c>
      <c r="I273" t="s">
        <v>1115</v>
      </c>
      <c r="J273" t="s">
        <v>1115</v>
      </c>
      <c r="K273" t="s">
        <v>1115</v>
      </c>
      <c r="L273" t="s">
        <v>1115</v>
      </c>
    </row>
    <row r="274" spans="1:12" x14ac:dyDescent="0.35">
      <c r="A274" s="22" t="s">
        <v>1119</v>
      </c>
      <c r="B274" t="s">
        <v>1115</v>
      </c>
      <c r="C274" t="s">
        <v>1080</v>
      </c>
      <c r="D274" s="2" t="str">
        <f>PROPER(Tab4_BlessuresJoueurs!A10)</f>
        <v>Duván</v>
      </c>
      <c r="E274" s="2" t="str">
        <f>UPPER(Tab4_BlessuresJoueurs!B10)</f>
        <v>ZAPATA</v>
      </c>
      <c r="F274" t="s">
        <v>1115</v>
      </c>
      <c r="G274" t="s">
        <v>1115</v>
      </c>
      <c r="H274" t="s">
        <v>1115</v>
      </c>
      <c r="I274" t="s">
        <v>1115</v>
      </c>
      <c r="J274" t="s">
        <v>1115</v>
      </c>
      <c r="K274" t="s">
        <v>1115</v>
      </c>
      <c r="L274" s="3" t="s">
        <v>596</v>
      </c>
    </row>
    <row r="275" spans="1:12" x14ac:dyDescent="0.35">
      <c r="A275" s="22" t="s">
        <v>1119</v>
      </c>
      <c r="B275" t="s">
        <v>1115</v>
      </c>
      <c r="C275" t="s">
        <v>1080</v>
      </c>
      <c r="D275" s="2" t="str">
        <f>PROPER(Tab4_BlessuresJoueurs!A45)</f>
        <v>Duván</v>
      </c>
      <c r="E275" s="2" t="str">
        <f>UPPER(Tab4_BlessuresJoueurs!B45)</f>
        <v>ZAPATA</v>
      </c>
      <c r="F275" t="s">
        <v>1115</v>
      </c>
      <c r="G275" t="s">
        <v>1115</v>
      </c>
      <c r="H275" t="s">
        <v>1115</v>
      </c>
      <c r="I275" t="s">
        <v>1115</v>
      </c>
      <c r="J275" t="s">
        <v>1115</v>
      </c>
      <c r="K275" t="s">
        <v>1115</v>
      </c>
      <c r="L275" s="3" t="s">
        <v>671</v>
      </c>
    </row>
    <row r="276" spans="1:12" x14ac:dyDescent="0.35">
      <c r="A276" s="20" t="s">
        <v>1085</v>
      </c>
      <c r="B276" s="15">
        <v>14</v>
      </c>
      <c r="C276" t="s">
        <v>1080</v>
      </c>
      <c r="D276" t="s">
        <v>569</v>
      </c>
      <c r="E276" t="s">
        <v>1100</v>
      </c>
      <c r="F276" t="s">
        <v>25</v>
      </c>
      <c r="G276" t="s">
        <v>535</v>
      </c>
      <c r="H276">
        <v>1972</v>
      </c>
      <c r="I276" t="s">
        <v>1115</v>
      </c>
      <c r="J276" t="s">
        <v>1115</v>
      </c>
      <c r="K276" t="s">
        <v>1115</v>
      </c>
      <c r="L276" t="s">
        <v>1115</v>
      </c>
    </row>
    <row r="277" spans="1:12" x14ac:dyDescent="0.35">
      <c r="A277" s="27" t="s">
        <v>713</v>
      </c>
      <c r="B277" t="s">
        <v>460</v>
      </c>
      <c r="C277" t="s">
        <v>1080</v>
      </c>
      <c r="D277" t="s">
        <v>49</v>
      </c>
      <c r="E277" t="s">
        <v>1333</v>
      </c>
      <c r="F277" t="s">
        <v>914</v>
      </c>
      <c r="G277" t="s">
        <v>1105</v>
      </c>
      <c r="H277">
        <v>2002</v>
      </c>
      <c r="I277" t="s">
        <v>1115</v>
      </c>
      <c r="J277" t="s">
        <v>1115</v>
      </c>
      <c r="K277" t="s">
        <v>1115</v>
      </c>
      <c r="L277" t="s">
        <v>1115</v>
      </c>
    </row>
    <row r="278" spans="1:12" x14ac:dyDescent="0.35">
      <c r="A278" s="27" t="s">
        <v>713</v>
      </c>
      <c r="B278" t="s">
        <v>450</v>
      </c>
      <c r="C278" t="s">
        <v>1080</v>
      </c>
      <c r="D278" t="s">
        <v>197</v>
      </c>
      <c r="E278" t="s">
        <v>1324</v>
      </c>
      <c r="F278" t="s">
        <v>926</v>
      </c>
      <c r="G278" t="s">
        <v>1371</v>
      </c>
      <c r="H278">
        <v>1994</v>
      </c>
      <c r="I278" t="s">
        <v>1115</v>
      </c>
      <c r="J278" t="s">
        <v>1115</v>
      </c>
      <c r="K278" t="s">
        <v>1115</v>
      </c>
      <c r="L278" t="s">
        <v>1115</v>
      </c>
    </row>
    <row r="279" spans="1:12" x14ac:dyDescent="0.35">
      <c r="A279" s="20" t="s">
        <v>1085</v>
      </c>
      <c r="B279" s="15">
        <v>5</v>
      </c>
      <c r="C279" t="s">
        <v>1080</v>
      </c>
      <c r="D279" t="s">
        <v>582</v>
      </c>
      <c r="E279" t="s">
        <v>1091</v>
      </c>
      <c r="F279" t="s">
        <v>42</v>
      </c>
      <c r="G279" t="s">
        <v>536</v>
      </c>
      <c r="H279">
        <v>1942</v>
      </c>
      <c r="I279" t="s">
        <v>1115</v>
      </c>
      <c r="J279" t="s">
        <v>1115</v>
      </c>
      <c r="K279" t="s">
        <v>1115</v>
      </c>
      <c r="L279" t="s">
        <v>1115</v>
      </c>
    </row>
  </sheetData>
  <sortState xmlns:xlrd2="http://schemas.microsoft.com/office/spreadsheetml/2017/richdata2" ref="A2:L279">
    <sortCondition ref="E2:E279"/>
    <sortCondition ref="D2:D27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2AD7-52EB-4991-986C-8E850E1E7F46}">
  <dimension ref="A1:I234"/>
  <sheetViews>
    <sheetView workbookViewId="0">
      <pane ySplit="1" topLeftCell="A2" activePane="bottomLeft" state="frozen"/>
      <selection pane="bottomLeft" activeCell="I2" sqref="I2"/>
    </sheetView>
  </sheetViews>
  <sheetFormatPr baseColWidth="10" defaultRowHeight="14.5" x14ac:dyDescent="0.35"/>
  <cols>
    <col min="1" max="1" width="11.54296875" customWidth="1"/>
    <col min="2" max="2" width="7.90625" customWidth="1"/>
    <col min="3" max="3" width="18.26953125" customWidth="1"/>
    <col min="4" max="4" width="27.7265625" customWidth="1"/>
    <col min="5" max="5" width="10.453125" customWidth="1"/>
    <col min="6" max="6" width="28" bestFit="1" customWidth="1"/>
    <col min="9" max="9" width="33.1796875" customWidth="1"/>
  </cols>
  <sheetData>
    <row r="1" spans="1:9" x14ac:dyDescent="0.35">
      <c r="A1" s="1" t="s">
        <v>1077</v>
      </c>
      <c r="B1" s="1" t="s">
        <v>1076</v>
      </c>
      <c r="C1" s="1" t="s">
        <v>504</v>
      </c>
      <c r="D1" s="1" t="s">
        <v>503</v>
      </c>
      <c r="E1" s="1" t="s">
        <v>505</v>
      </c>
      <c r="F1" s="1" t="s">
        <v>1075</v>
      </c>
      <c r="G1" s="1" t="s">
        <v>1078</v>
      </c>
      <c r="I1" s="32" t="s">
        <v>1405</v>
      </c>
    </row>
    <row r="2" spans="1:9" x14ac:dyDescent="0.35">
      <c r="A2">
        <v>1</v>
      </c>
      <c r="B2" t="s">
        <v>1221</v>
      </c>
      <c r="C2" t="s">
        <v>1157</v>
      </c>
      <c r="D2" t="s">
        <v>1204</v>
      </c>
      <c r="E2" t="s">
        <v>926</v>
      </c>
      <c r="F2" t="s">
        <v>1442</v>
      </c>
      <c r="G2">
        <v>1982</v>
      </c>
      <c r="I2" t="str">
        <f>CONCATENATE("INSERT INTO T_Dim_J VALUES ('",A2,$I$1,B2,$I$1,C2,$I$1,D2,$I$1,E2,$I$1,F2,$I$1,G2,"');")</f>
        <v>INSERT INTO T_Dim_J VALUES ('1', 'F', 'Carli', 'LLOYD', 'Midfielder', 'UNITED-STATES-OF-AMERICA', '1982');</v>
      </c>
    </row>
    <row r="3" spans="1:9" x14ac:dyDescent="0.35">
      <c r="A3">
        <v>2</v>
      </c>
      <c r="B3" t="s">
        <v>1221</v>
      </c>
      <c r="C3" t="s">
        <v>1143</v>
      </c>
      <c r="D3" t="s">
        <v>1197</v>
      </c>
      <c r="E3" t="s">
        <v>914</v>
      </c>
      <c r="F3" t="s">
        <v>1125</v>
      </c>
      <c r="G3">
        <v>1983</v>
      </c>
      <c r="I3" t="str">
        <f t="shared" ref="I3:I66" si="0">CONCATENATE("INSERT INTO T_Dim_J VALUES ('",A3,$I$1,B3,$I$1,C3,$I$1,D3,$I$1,E3,$I$1,F3,$I$1,G3,"');")</f>
        <v>INSERT INTO T_Dim_J VALUES ('2', 'F', 'Christine', 'SINCLAIR', 'Forward', 'CANADA', '1983');</v>
      </c>
    </row>
    <row r="4" spans="1:9" x14ac:dyDescent="0.35">
      <c r="A4">
        <v>3</v>
      </c>
      <c r="B4" t="s">
        <v>1221</v>
      </c>
      <c r="C4" t="s">
        <v>1132</v>
      </c>
      <c r="D4" t="s">
        <v>1192</v>
      </c>
      <c r="E4" t="s">
        <v>917</v>
      </c>
      <c r="F4" t="s">
        <v>1442</v>
      </c>
      <c r="G4">
        <v>1985</v>
      </c>
      <c r="I4" t="str">
        <f t="shared" si="0"/>
        <v>INSERT INTO T_Dim_J VALUES ('3', 'F', 'Megan', 'RAPINOE', 'Winger', 'UNITED-STATES-OF-AMERICA', '1985');</v>
      </c>
    </row>
    <row r="5" spans="1:9" x14ac:dyDescent="0.35">
      <c r="A5">
        <v>4</v>
      </c>
      <c r="B5" t="s">
        <v>1221</v>
      </c>
      <c r="C5" t="s">
        <v>1140</v>
      </c>
      <c r="D5" t="s">
        <v>1196</v>
      </c>
      <c r="E5" t="s">
        <v>914</v>
      </c>
      <c r="F5" t="s">
        <v>531</v>
      </c>
      <c r="G5">
        <v>1986</v>
      </c>
      <c r="I5" t="str">
        <f t="shared" si="0"/>
        <v>INSERT INTO T_Dim_J VALUES ('4', 'F', 'Marta', 'VIEIRA-DA-SILVA', 'Forward', 'BRAZIL', '1986');</v>
      </c>
    </row>
    <row r="6" spans="1:9" x14ac:dyDescent="0.35">
      <c r="A6">
        <v>5</v>
      </c>
      <c r="B6" t="s">
        <v>1221</v>
      </c>
      <c r="C6" t="s">
        <v>1159</v>
      </c>
      <c r="D6" t="s">
        <v>1205</v>
      </c>
      <c r="E6" t="s">
        <v>917</v>
      </c>
      <c r="F6" t="s">
        <v>1442</v>
      </c>
      <c r="G6">
        <v>1988</v>
      </c>
      <c r="I6" t="str">
        <f t="shared" si="0"/>
        <v>INSERT INTO T_Dim_J VALUES ('5', 'F', 'Tobin', 'HEATH', 'Winger', 'UNITED-STATES-OF-AMERICA', '1988');</v>
      </c>
    </row>
    <row r="7" spans="1:9" x14ac:dyDescent="0.35">
      <c r="A7">
        <v>6</v>
      </c>
      <c r="B7" t="s">
        <v>1221</v>
      </c>
      <c r="C7" t="s">
        <v>1138</v>
      </c>
      <c r="D7" t="s">
        <v>1195</v>
      </c>
      <c r="E7" t="s">
        <v>926</v>
      </c>
      <c r="F7" t="s">
        <v>535</v>
      </c>
      <c r="G7">
        <v>1989</v>
      </c>
      <c r="I7" t="str">
        <f t="shared" si="0"/>
        <v>INSERT INTO T_Dim_J VALUES ('6', 'F', 'Amandine', 'HENRY', 'Midfielder', 'FRANCE', '1989');</v>
      </c>
    </row>
    <row r="8" spans="1:9" x14ac:dyDescent="0.35">
      <c r="A8">
        <v>7</v>
      </c>
      <c r="B8" t="s">
        <v>1221</v>
      </c>
      <c r="C8" t="s">
        <v>1130</v>
      </c>
      <c r="D8" t="s">
        <v>1191</v>
      </c>
      <c r="E8" t="s">
        <v>914</v>
      </c>
      <c r="F8" t="s">
        <v>1442</v>
      </c>
      <c r="G8">
        <v>1989</v>
      </c>
      <c r="I8" t="str">
        <f t="shared" si="0"/>
        <v>INSERT INTO T_Dim_J VALUES ('7', 'F', 'Alex', 'MORGAN', 'Forward', 'UNITED-STATES-OF-AMERICA', '1989');</v>
      </c>
    </row>
    <row r="9" spans="1:9" x14ac:dyDescent="0.35">
      <c r="A9">
        <v>8</v>
      </c>
      <c r="B9" t="s">
        <v>1221</v>
      </c>
      <c r="C9" t="s">
        <v>1167</v>
      </c>
      <c r="D9" t="s">
        <v>1209</v>
      </c>
      <c r="E9" t="s">
        <v>923</v>
      </c>
      <c r="F9" t="s">
        <v>1127</v>
      </c>
      <c r="G9">
        <v>1990</v>
      </c>
      <c r="I9" t="str">
        <f t="shared" si="0"/>
        <v>INSERT INTO T_Dim_J VALUES ('8', 'F', 'Saki', 'KUMAGAI', 'Defender', 'JAPAN', '1990');</v>
      </c>
    </row>
    <row r="10" spans="1:9" x14ac:dyDescent="0.35">
      <c r="A10">
        <v>9</v>
      </c>
      <c r="B10" t="s">
        <v>1221</v>
      </c>
      <c r="C10" t="s">
        <v>1153</v>
      </c>
      <c r="D10" t="s">
        <v>1202</v>
      </c>
      <c r="E10" t="s">
        <v>923</v>
      </c>
      <c r="F10" t="s">
        <v>535</v>
      </c>
      <c r="G10">
        <v>1990</v>
      </c>
      <c r="I10" t="str">
        <f t="shared" si="0"/>
        <v>INSERT INTO T_Dim_J VALUES ('9', 'F', 'Wendie', 'RENARD', 'Defender', 'FRANCE', '1990');</v>
      </c>
    </row>
    <row r="11" spans="1:9" x14ac:dyDescent="0.35">
      <c r="A11">
        <v>10</v>
      </c>
      <c r="B11" t="s">
        <v>1221</v>
      </c>
      <c r="C11" t="s">
        <v>1136</v>
      </c>
      <c r="D11" t="s">
        <v>1194</v>
      </c>
      <c r="E11" t="s">
        <v>923</v>
      </c>
      <c r="F11" t="s">
        <v>528</v>
      </c>
      <c r="G11">
        <v>1991</v>
      </c>
      <c r="I11" t="str">
        <f t="shared" si="0"/>
        <v>INSERT INTO T_Dim_J VALUES ('10', 'F', 'Lucy', 'BRONZE', 'Defender', 'ENGLAND', '1991');</v>
      </c>
    </row>
    <row r="12" spans="1:9" x14ac:dyDescent="0.35">
      <c r="A12">
        <v>11</v>
      </c>
      <c r="B12" t="s">
        <v>1221</v>
      </c>
      <c r="C12" t="s">
        <v>1175</v>
      </c>
      <c r="D12" t="s">
        <v>1213</v>
      </c>
      <c r="E12" t="s">
        <v>923</v>
      </c>
      <c r="F12" t="s">
        <v>1106</v>
      </c>
      <c r="G12">
        <v>1991</v>
      </c>
      <c r="I12" t="str">
        <f t="shared" si="0"/>
        <v>INSERT INTO T_Dim_J VALUES ('11', 'F', 'Irene', 'PAREDES', 'Defender', 'SPAIN', '1991');</v>
      </c>
    </row>
    <row r="13" spans="1:9" x14ac:dyDescent="0.35">
      <c r="A13">
        <v>12</v>
      </c>
      <c r="B13" t="s">
        <v>1221</v>
      </c>
      <c r="C13" t="s">
        <v>1169</v>
      </c>
      <c r="D13" t="s">
        <v>1210</v>
      </c>
      <c r="E13" t="s">
        <v>926</v>
      </c>
      <c r="F13" t="s">
        <v>1361</v>
      </c>
      <c r="G13">
        <v>1991</v>
      </c>
      <c r="I13" t="str">
        <f t="shared" si="0"/>
        <v>INSERT INTO T_Dim_J VALUES ('12', 'F', 'Ji', 'SO-YUN', 'Midfielder', 'SOUTH-KOREA', '1991');</v>
      </c>
    </row>
    <row r="14" spans="1:9" x14ac:dyDescent="0.35">
      <c r="A14">
        <v>13</v>
      </c>
      <c r="B14" t="s">
        <v>1221</v>
      </c>
      <c r="C14" t="s">
        <v>1155</v>
      </c>
      <c r="D14" t="s">
        <v>1203</v>
      </c>
      <c r="E14" t="s">
        <v>926</v>
      </c>
      <c r="F14" t="s">
        <v>1442</v>
      </c>
      <c r="G14">
        <v>1992</v>
      </c>
      <c r="I14" t="str">
        <f t="shared" si="0"/>
        <v>INSERT INTO T_Dim_J VALUES ('13', 'F', 'Julie', 'ERTZ', 'Midfielder', 'UNITED-STATES-OF-AMERICA', '1992');</v>
      </c>
    </row>
    <row r="15" spans="1:9" x14ac:dyDescent="0.35">
      <c r="A15">
        <v>14</v>
      </c>
      <c r="B15" t="s">
        <v>1221</v>
      </c>
      <c r="C15" t="s">
        <v>1163</v>
      </c>
      <c r="D15" t="s">
        <v>1207</v>
      </c>
      <c r="E15" t="s">
        <v>914</v>
      </c>
      <c r="F15" t="s">
        <v>1107</v>
      </c>
      <c r="G15">
        <v>1992</v>
      </c>
      <c r="I15" t="str">
        <f t="shared" si="0"/>
        <v>INSERT INTO T_Dim_J VALUES ('14', 'F', 'Pernille', 'HARDER', 'Forward', 'DENMARK', '1992');</v>
      </c>
    </row>
    <row r="16" spans="1:9" x14ac:dyDescent="0.35">
      <c r="A16">
        <v>15</v>
      </c>
      <c r="B16" t="s">
        <v>1221</v>
      </c>
      <c r="C16" t="s">
        <v>1151</v>
      </c>
      <c r="D16" t="s">
        <v>1201</v>
      </c>
      <c r="E16" t="s">
        <v>926</v>
      </c>
      <c r="F16" t="s">
        <v>527</v>
      </c>
      <c r="G16">
        <v>1992</v>
      </c>
      <c r="I16" t="str">
        <f t="shared" si="0"/>
        <v>INSERT INTO T_Dim_J VALUES ('15', 'F', 'Dzsenifer', 'MAROZSÁN', 'Midfielder', 'GERMANY', '1992');</v>
      </c>
    </row>
    <row r="17" spans="1:9" x14ac:dyDescent="0.35">
      <c r="A17">
        <v>16</v>
      </c>
      <c r="B17" t="s">
        <v>1221</v>
      </c>
      <c r="C17" t="s">
        <v>1134</v>
      </c>
      <c r="D17" t="s">
        <v>1218</v>
      </c>
      <c r="E17" t="s">
        <v>926</v>
      </c>
      <c r="F17" t="s">
        <v>1442</v>
      </c>
      <c r="G17">
        <v>1992</v>
      </c>
      <c r="I17" t="str">
        <f t="shared" si="0"/>
        <v>INSERT INTO T_Dim_J VALUES ('16', 'F', 'Sam', 'MEWIS', 'Midfielder', 'UNITED-STATES-OF-AMERICA', '1992');</v>
      </c>
    </row>
    <row r="18" spans="1:9" x14ac:dyDescent="0.35">
      <c r="A18">
        <v>17</v>
      </c>
      <c r="B18" t="s">
        <v>1221</v>
      </c>
      <c r="C18" t="s">
        <v>1134</v>
      </c>
      <c r="D18" t="s">
        <v>1193</v>
      </c>
      <c r="E18" t="s">
        <v>914</v>
      </c>
      <c r="F18" t="s">
        <v>1124</v>
      </c>
      <c r="G18">
        <v>1993</v>
      </c>
      <c r="I18" t="str">
        <f t="shared" si="0"/>
        <v>INSERT INTO T_Dim_J VALUES ('17', 'F', 'Sam', 'KERR', 'Forward', 'AUSTRALIA', '1993');</v>
      </c>
    </row>
    <row r="19" spans="1:9" x14ac:dyDescent="0.35">
      <c r="A19">
        <v>18</v>
      </c>
      <c r="B19" t="s">
        <v>1221</v>
      </c>
      <c r="C19" t="s">
        <v>1147</v>
      </c>
      <c r="D19" t="s">
        <v>1199</v>
      </c>
      <c r="E19" t="s">
        <v>926</v>
      </c>
      <c r="F19" t="s">
        <v>528</v>
      </c>
      <c r="G19">
        <v>1993</v>
      </c>
      <c r="I19" t="str">
        <f t="shared" si="0"/>
        <v>INSERT INTO T_Dim_J VALUES ('18', 'F', 'Fran', 'KIRBY', 'Midfielder', 'ENGLAND', '1993');</v>
      </c>
    </row>
    <row r="20" spans="1:9" x14ac:dyDescent="0.35">
      <c r="A20">
        <v>19</v>
      </c>
      <c r="B20" t="s">
        <v>1221</v>
      </c>
      <c r="C20" t="s">
        <v>1165</v>
      </c>
      <c r="D20" t="s">
        <v>1208</v>
      </c>
      <c r="E20" t="s">
        <v>926</v>
      </c>
      <c r="F20" t="s">
        <v>1105</v>
      </c>
      <c r="G20">
        <v>1993</v>
      </c>
      <c r="I20" t="str">
        <f t="shared" si="0"/>
        <v>INSERT INTO T_Dim_J VALUES ('19', 'F', 'Lieke', 'MARTENS', 'Midfielder', 'NETHERLANDS', '1993');</v>
      </c>
    </row>
    <row r="21" spans="1:9" x14ac:dyDescent="0.35">
      <c r="A21">
        <v>20</v>
      </c>
      <c r="B21" t="s">
        <v>1221</v>
      </c>
      <c r="C21" t="s">
        <v>1183</v>
      </c>
      <c r="D21" t="s">
        <v>1217</v>
      </c>
      <c r="E21" t="s">
        <v>914</v>
      </c>
      <c r="F21" t="s">
        <v>1129</v>
      </c>
      <c r="G21">
        <v>1994</v>
      </c>
      <c r="I21" t="str">
        <f t="shared" si="0"/>
        <v>INSERT INTO T_Dim_J VALUES ('20', 'F', 'Asisat', 'OSHOALA', 'Forward', 'NIGERIA', '1994');</v>
      </c>
    </row>
    <row r="22" spans="1:9" x14ac:dyDescent="0.35">
      <c r="A22">
        <v>21</v>
      </c>
      <c r="B22" t="s">
        <v>1221</v>
      </c>
      <c r="C22" t="s">
        <v>1173</v>
      </c>
      <c r="D22" t="s">
        <v>1212</v>
      </c>
      <c r="E22" t="s">
        <v>926</v>
      </c>
      <c r="F22" t="s">
        <v>1106</v>
      </c>
      <c r="G22">
        <v>1994</v>
      </c>
      <c r="I22" t="str">
        <f t="shared" si="0"/>
        <v>INSERT INTO T_Dim_J VALUES ('21', 'F', 'Alexia', 'PUTELLAS', 'Midfielder', 'SPAIN', '1994');</v>
      </c>
    </row>
    <row r="23" spans="1:9" x14ac:dyDescent="0.35">
      <c r="A23">
        <v>22</v>
      </c>
      <c r="B23" t="s">
        <v>1221</v>
      </c>
      <c r="C23" t="s">
        <v>1171</v>
      </c>
      <c r="D23" t="s">
        <v>1211</v>
      </c>
      <c r="E23" t="s">
        <v>923</v>
      </c>
      <c r="F23" t="s">
        <v>1125</v>
      </c>
      <c r="G23">
        <v>1995</v>
      </c>
      <c r="I23" t="str">
        <f t="shared" si="0"/>
        <v>INSERT INTO T_Dim_J VALUES ('22', 'F', 'Kadeisha', 'BUCHANAN', 'Defender', 'CANADA', '1995');</v>
      </c>
    </row>
    <row r="24" spans="1:9" x14ac:dyDescent="0.35">
      <c r="A24">
        <v>23</v>
      </c>
      <c r="B24" t="s">
        <v>1221</v>
      </c>
      <c r="C24" t="s">
        <v>1149</v>
      </c>
      <c r="D24" t="s">
        <v>1200</v>
      </c>
      <c r="E24" t="s">
        <v>914</v>
      </c>
      <c r="F24" t="s">
        <v>1126</v>
      </c>
      <c r="G24">
        <v>1995</v>
      </c>
      <c r="I24" t="str">
        <f t="shared" si="0"/>
        <v>INSERT INTO T_Dim_J VALUES ('23', 'F', 'Ada', 'HEGERBERG', 'Forward', 'NORWAY', '1995');</v>
      </c>
    </row>
    <row r="25" spans="1:9" x14ac:dyDescent="0.35">
      <c r="A25">
        <v>24</v>
      </c>
      <c r="B25" t="s">
        <v>1221</v>
      </c>
      <c r="C25" t="s">
        <v>1161</v>
      </c>
      <c r="D25" t="s">
        <v>1206</v>
      </c>
      <c r="E25" t="s">
        <v>926</v>
      </c>
      <c r="F25" t="s">
        <v>1442</v>
      </c>
      <c r="G25">
        <v>1995</v>
      </c>
      <c r="I25" t="str">
        <f t="shared" si="0"/>
        <v>INSERT INTO T_Dim_J VALUES ('24', 'F', 'Rose', 'LAVELLE', 'Midfielder', 'UNITED-STATES-OF-AMERICA', '1995');</v>
      </c>
    </row>
    <row r="26" spans="1:9" x14ac:dyDescent="0.35">
      <c r="A26">
        <v>25</v>
      </c>
      <c r="B26" t="s">
        <v>1221</v>
      </c>
      <c r="C26" t="s">
        <v>1186</v>
      </c>
      <c r="D26" t="s">
        <v>1219</v>
      </c>
      <c r="E26" t="s">
        <v>917</v>
      </c>
      <c r="F26" t="s">
        <v>528</v>
      </c>
      <c r="G26">
        <v>1995</v>
      </c>
      <c r="I26" t="str">
        <f t="shared" si="0"/>
        <v>INSERT INTO T_Dim_J VALUES ('25', 'F', 'Beth', 'MEAD', 'Winger', 'ENGLAND', '1995');</v>
      </c>
    </row>
    <row r="27" spans="1:9" x14ac:dyDescent="0.35">
      <c r="A27">
        <v>26</v>
      </c>
      <c r="B27" t="s">
        <v>1221</v>
      </c>
      <c r="C27" t="s">
        <v>1145</v>
      </c>
      <c r="D27" t="s">
        <v>1198</v>
      </c>
      <c r="E27" t="s">
        <v>914</v>
      </c>
      <c r="F27" t="s">
        <v>1105</v>
      </c>
      <c r="G27">
        <v>1996</v>
      </c>
      <c r="I27" t="str">
        <f t="shared" si="0"/>
        <v>INSERT INTO T_Dim_J VALUES ('26', 'F', 'Vivianne', 'MIEDEMA', 'Forward', 'NETHERLANDS', '1996');</v>
      </c>
    </row>
    <row r="28" spans="1:9" x14ac:dyDescent="0.35">
      <c r="A28">
        <v>27</v>
      </c>
      <c r="B28" t="s">
        <v>1221</v>
      </c>
      <c r="C28" t="s">
        <v>1181</v>
      </c>
      <c r="D28" t="s">
        <v>1216</v>
      </c>
      <c r="E28" t="s">
        <v>917</v>
      </c>
      <c r="F28" t="s">
        <v>535</v>
      </c>
      <c r="G28">
        <v>1997</v>
      </c>
      <c r="I28" t="str">
        <f t="shared" si="0"/>
        <v>INSERT INTO T_Dim_J VALUES ('27', 'F', 'Delphine', 'CASCARINO', 'Winger', 'FRANCE', '1997');</v>
      </c>
    </row>
    <row r="29" spans="1:9" x14ac:dyDescent="0.35">
      <c r="A29">
        <v>28</v>
      </c>
      <c r="B29" t="s">
        <v>1221</v>
      </c>
      <c r="C29" t="s">
        <v>1188</v>
      </c>
      <c r="D29" t="s">
        <v>1220</v>
      </c>
      <c r="E29" t="s">
        <v>923</v>
      </c>
      <c r="F29" t="s">
        <v>528</v>
      </c>
      <c r="G29">
        <v>1997</v>
      </c>
      <c r="I29" t="str">
        <f t="shared" si="0"/>
        <v>INSERT INTO T_Dim_J VALUES ('28', 'F', 'Leah', 'WILLIAMSON', 'Defender', 'ENGLAND', '1997');</v>
      </c>
    </row>
    <row r="30" spans="1:9" x14ac:dyDescent="0.35">
      <c r="A30">
        <v>29</v>
      </c>
      <c r="B30" t="s">
        <v>1221</v>
      </c>
      <c r="C30" t="s">
        <v>1177</v>
      </c>
      <c r="D30" t="s">
        <v>1214</v>
      </c>
      <c r="E30" t="s">
        <v>926</v>
      </c>
      <c r="F30" t="s">
        <v>1106</v>
      </c>
      <c r="G30">
        <v>1998</v>
      </c>
      <c r="I30" t="str">
        <f t="shared" si="0"/>
        <v>INSERT INTO T_Dim_J VALUES ('29', 'F', 'Patri', 'GUIJARRO', 'Midfielder', 'SPAIN', '1998');</v>
      </c>
    </row>
    <row r="31" spans="1:9" x14ac:dyDescent="0.35">
      <c r="A31">
        <v>30</v>
      </c>
      <c r="B31" t="s">
        <v>1221</v>
      </c>
      <c r="C31" t="s">
        <v>1179</v>
      </c>
      <c r="D31" t="s">
        <v>1215</v>
      </c>
      <c r="E31" t="s">
        <v>914</v>
      </c>
      <c r="F31" t="s">
        <v>535</v>
      </c>
      <c r="G31">
        <v>1998</v>
      </c>
      <c r="I31" t="str">
        <f t="shared" si="0"/>
        <v>INSERT INTO T_Dim_J VALUES ('30', 'F', 'Marie-Antoinette', 'KATOTO', 'Forward', 'FRANCE', '1998');</v>
      </c>
    </row>
    <row r="32" spans="1:9" x14ac:dyDescent="0.35">
      <c r="A32">
        <v>31</v>
      </c>
      <c r="B32" t="s">
        <v>1080</v>
      </c>
      <c r="C32" t="s">
        <v>571</v>
      </c>
      <c r="D32" t="s">
        <v>1087</v>
      </c>
      <c r="E32" t="s">
        <v>914</v>
      </c>
      <c r="F32" t="s">
        <v>529</v>
      </c>
      <c r="G32">
        <v>1926</v>
      </c>
      <c r="I32" t="str">
        <f t="shared" si="0"/>
        <v>INSERT INTO T_Dim_J VALUES ('31', 'M', 'Alfredo', 'DI STÉFANO', 'Forward', 'ARGENTINA', '1926');</v>
      </c>
    </row>
    <row r="33" spans="1:9" x14ac:dyDescent="0.35">
      <c r="A33">
        <v>32</v>
      </c>
      <c r="B33" t="s">
        <v>1080</v>
      </c>
      <c r="C33" t="s">
        <v>579</v>
      </c>
      <c r="D33" t="s">
        <v>1088</v>
      </c>
      <c r="E33" t="s">
        <v>487</v>
      </c>
      <c r="F33" t="s">
        <v>1111</v>
      </c>
      <c r="G33">
        <v>1929</v>
      </c>
      <c r="I33" t="str">
        <f t="shared" si="0"/>
        <v>INSERT INTO T_Dim_J VALUES ('32', 'M', 'Lev', 'YASHIN', 'Goalkeeper', 'RUSSIA', '1929');</v>
      </c>
    </row>
    <row r="34" spans="1:9" x14ac:dyDescent="0.35">
      <c r="A34">
        <v>33</v>
      </c>
      <c r="B34" t="s">
        <v>1080</v>
      </c>
      <c r="C34" t="s">
        <v>584</v>
      </c>
      <c r="D34" t="s">
        <v>1089</v>
      </c>
      <c r="E34" t="s">
        <v>487</v>
      </c>
      <c r="F34" t="s">
        <v>528</v>
      </c>
      <c r="G34">
        <v>1937</v>
      </c>
      <c r="I34" t="str">
        <f t="shared" si="0"/>
        <v>INSERT INTO T_Dim_J VALUES ('33', 'M', 'Gordon', 'BANKS', 'Goalkeeper', 'ENGLAND', '1937');</v>
      </c>
    </row>
    <row r="35" spans="1:9" x14ac:dyDescent="0.35">
      <c r="A35">
        <v>34</v>
      </c>
      <c r="B35" t="s">
        <v>1080</v>
      </c>
      <c r="C35" t="s">
        <v>563</v>
      </c>
      <c r="D35" t="s">
        <v>1090</v>
      </c>
      <c r="E35" t="s">
        <v>914</v>
      </c>
      <c r="F35" t="s">
        <v>531</v>
      </c>
      <c r="G35">
        <v>1940</v>
      </c>
      <c r="I35" t="str">
        <f t="shared" si="0"/>
        <v>INSERT INTO T_Dim_J VALUES ('34', 'M', 'Edson', 'PELÉ', 'Forward', 'BRAZIL', '1940');</v>
      </c>
    </row>
    <row r="36" spans="1:9" x14ac:dyDescent="0.35">
      <c r="A36">
        <v>35</v>
      </c>
      <c r="B36" t="s">
        <v>1080</v>
      </c>
      <c r="C36" t="s">
        <v>582</v>
      </c>
      <c r="D36" t="s">
        <v>1091</v>
      </c>
      <c r="E36" t="s">
        <v>487</v>
      </c>
      <c r="F36" t="s">
        <v>536</v>
      </c>
      <c r="G36">
        <v>1942</v>
      </c>
      <c r="I36" t="str">
        <f t="shared" si="0"/>
        <v>INSERT INTO T_Dim_J VALUES ('35', 'M', 'Dino', 'ZOFF', 'Goalkeeper', 'ITALY', '1942');</v>
      </c>
    </row>
    <row r="37" spans="1:9" x14ac:dyDescent="0.35">
      <c r="A37">
        <v>36</v>
      </c>
      <c r="B37" t="s">
        <v>1080</v>
      </c>
      <c r="C37" t="s">
        <v>573</v>
      </c>
      <c r="D37" t="s">
        <v>1092</v>
      </c>
      <c r="E37" t="s">
        <v>923</v>
      </c>
      <c r="F37" t="s">
        <v>527</v>
      </c>
      <c r="G37">
        <v>1945</v>
      </c>
      <c r="I37" t="str">
        <f t="shared" si="0"/>
        <v>INSERT INTO T_Dim_J VALUES ('36', 'M', 'Franz', 'BECKENBAUER', 'Defender', 'GERMANY', '1945');</v>
      </c>
    </row>
    <row r="38" spans="1:9" x14ac:dyDescent="0.35">
      <c r="A38">
        <v>37</v>
      </c>
      <c r="B38" t="s">
        <v>1080</v>
      </c>
      <c r="C38" t="s">
        <v>567</v>
      </c>
      <c r="D38" t="s">
        <v>1093</v>
      </c>
      <c r="E38" t="s">
        <v>926</v>
      </c>
      <c r="F38" t="s">
        <v>1105</v>
      </c>
      <c r="G38">
        <v>1947</v>
      </c>
      <c r="I38" t="str">
        <f t="shared" si="0"/>
        <v>INSERT INTO T_Dim_J VALUES ('37', 'M', 'Johan', 'CRUYFF', 'Midfielder', 'NETHERLANDS', '1947');</v>
      </c>
    </row>
    <row r="39" spans="1:9" x14ac:dyDescent="0.35">
      <c r="A39">
        <v>38</v>
      </c>
      <c r="B39" t="s">
        <v>1080</v>
      </c>
      <c r="C39" t="s">
        <v>58</v>
      </c>
      <c r="D39" t="s">
        <v>1094</v>
      </c>
      <c r="E39" t="s">
        <v>487</v>
      </c>
      <c r="F39" t="s">
        <v>1106</v>
      </c>
      <c r="G39">
        <v>1954</v>
      </c>
      <c r="I39" t="str">
        <f t="shared" si="0"/>
        <v>INSERT INTO T_Dim_J VALUES ('38', 'M', 'Luis', 'ARCONADA', 'Goalkeeper', 'SPAIN', '1954');</v>
      </c>
    </row>
    <row r="40" spans="1:9" x14ac:dyDescent="0.35">
      <c r="A40">
        <v>39</v>
      </c>
      <c r="B40" t="s">
        <v>1080</v>
      </c>
      <c r="C40" t="s">
        <v>576</v>
      </c>
      <c r="D40" t="s">
        <v>1095</v>
      </c>
      <c r="E40" t="s">
        <v>926</v>
      </c>
      <c r="F40" t="s">
        <v>535</v>
      </c>
      <c r="G40">
        <v>1955</v>
      </c>
      <c r="I40" t="str">
        <f t="shared" si="0"/>
        <v>INSERT INTO T_Dim_J VALUES ('39', 'M', 'Michel', 'PLATINI', 'Midfielder', 'FRANCE', '1955');</v>
      </c>
    </row>
    <row r="41" spans="1:9" x14ac:dyDescent="0.35">
      <c r="A41">
        <v>40</v>
      </c>
      <c r="B41" t="s">
        <v>1080</v>
      </c>
      <c r="C41" t="s">
        <v>565</v>
      </c>
      <c r="D41" t="s">
        <v>1096</v>
      </c>
      <c r="E41" t="s">
        <v>914</v>
      </c>
      <c r="F41" t="s">
        <v>529</v>
      </c>
      <c r="G41">
        <v>1960</v>
      </c>
      <c r="I41" t="str">
        <f t="shared" si="0"/>
        <v>INSERT INTO T_Dim_J VALUES ('40', 'M', 'Diego', 'MARADONA', 'Forward', 'ARGENTINA', '1960');</v>
      </c>
    </row>
    <row r="42" spans="1:9" x14ac:dyDescent="0.35">
      <c r="A42">
        <v>41</v>
      </c>
      <c r="B42" t="s">
        <v>1080</v>
      </c>
      <c r="C42" t="s">
        <v>587</v>
      </c>
      <c r="D42" t="s">
        <v>1097</v>
      </c>
      <c r="E42" t="s">
        <v>487</v>
      </c>
      <c r="F42" t="s">
        <v>1107</v>
      </c>
      <c r="G42">
        <v>1963</v>
      </c>
      <c r="I42" t="str">
        <f t="shared" si="0"/>
        <v>INSERT INTO T_Dim_J VALUES ('41', 'M', 'Peter', 'SCHMEICHEL', 'Goalkeeper', 'DENMARK', '1963');</v>
      </c>
    </row>
    <row r="43" spans="1:9" x14ac:dyDescent="0.35">
      <c r="A43">
        <v>42</v>
      </c>
      <c r="B43" t="s">
        <v>1080</v>
      </c>
      <c r="C43" t="s">
        <v>594</v>
      </c>
      <c r="D43" t="s">
        <v>1098</v>
      </c>
      <c r="E43" t="s">
        <v>487</v>
      </c>
      <c r="F43" t="s">
        <v>531</v>
      </c>
      <c r="G43">
        <v>1966</v>
      </c>
      <c r="I43" t="str">
        <f t="shared" si="0"/>
        <v>INSERT INTO T_Dim_J VALUES ('42', 'M', 'Cláudio', 'TAFFAREL', 'Goalkeeper', 'BRAZIL', '1966');</v>
      </c>
    </row>
    <row r="44" spans="1:9" x14ac:dyDescent="0.35">
      <c r="A44">
        <v>43</v>
      </c>
      <c r="B44" t="s">
        <v>1080</v>
      </c>
      <c r="C44" t="s">
        <v>589</v>
      </c>
      <c r="D44" t="s">
        <v>1099</v>
      </c>
      <c r="E44" t="s">
        <v>487</v>
      </c>
      <c r="F44" t="s">
        <v>527</v>
      </c>
      <c r="G44">
        <v>1969</v>
      </c>
      <c r="I44" t="str">
        <f t="shared" si="0"/>
        <v>INSERT INTO T_Dim_J VALUES ('43', 'M', 'Oliver', 'KAHN', 'Goalkeeper', 'GERMANY', '1969');</v>
      </c>
    </row>
    <row r="45" spans="1:9" x14ac:dyDescent="0.35">
      <c r="A45">
        <v>44</v>
      </c>
      <c r="B45" t="s">
        <v>1080</v>
      </c>
      <c r="C45" t="s">
        <v>569</v>
      </c>
      <c r="D45" t="s">
        <v>1100</v>
      </c>
      <c r="E45" t="s">
        <v>926</v>
      </c>
      <c r="F45" t="s">
        <v>535</v>
      </c>
      <c r="G45">
        <v>1972</v>
      </c>
      <c r="I45" t="str">
        <f t="shared" si="0"/>
        <v>INSERT INTO T_Dim_J VALUES ('44', 'M', 'Zinedine', 'ZIDANE', 'Midfielder', 'FRANCE', '1972');</v>
      </c>
    </row>
    <row r="46" spans="1:9" x14ac:dyDescent="0.35">
      <c r="A46">
        <v>45</v>
      </c>
      <c r="B46" t="s">
        <v>1080</v>
      </c>
      <c r="C46" t="s">
        <v>574</v>
      </c>
      <c r="D46" t="s">
        <v>1101</v>
      </c>
      <c r="E46" t="s">
        <v>914</v>
      </c>
      <c r="F46" t="s">
        <v>531</v>
      </c>
      <c r="G46">
        <v>1976</v>
      </c>
      <c r="I46" t="str">
        <f t="shared" si="0"/>
        <v>INSERT INTO T_Dim_J VALUES ('45', 'M', 'Nazário', 'RONALDO', 'Forward', 'BRAZIL', '1976');</v>
      </c>
    </row>
    <row r="47" spans="1:9" x14ac:dyDescent="0.35">
      <c r="A47">
        <v>46</v>
      </c>
      <c r="B47" t="s">
        <v>1080</v>
      </c>
      <c r="C47" t="s">
        <v>306</v>
      </c>
      <c r="D47" t="s">
        <v>1102</v>
      </c>
      <c r="E47" t="s">
        <v>487</v>
      </c>
      <c r="F47" t="s">
        <v>536</v>
      </c>
      <c r="G47">
        <v>1978</v>
      </c>
      <c r="I47" t="str">
        <f t="shared" si="0"/>
        <v>INSERT INTO T_Dim_J VALUES ('46', 'M', 'Gianluigi', 'BUFFON', 'Goalkeeper', 'ITALY', '1978');</v>
      </c>
    </row>
    <row r="48" spans="1:9" x14ac:dyDescent="0.35">
      <c r="A48">
        <v>47</v>
      </c>
      <c r="B48" t="s">
        <v>1080</v>
      </c>
      <c r="C48" t="s">
        <v>172</v>
      </c>
      <c r="D48" t="s">
        <v>1236</v>
      </c>
      <c r="E48" t="s">
        <v>926</v>
      </c>
      <c r="F48" t="s">
        <v>528</v>
      </c>
      <c r="G48">
        <v>1978</v>
      </c>
      <c r="I48" t="str">
        <f t="shared" si="0"/>
        <v>INSERT INTO T_Dim_J VALUES ('47', 'M', 'Frank', 'LAMPARD', 'Midfielder', 'ENGLAND', '1978');</v>
      </c>
    </row>
    <row r="49" spans="1:9" x14ac:dyDescent="0.35">
      <c r="A49">
        <v>48</v>
      </c>
      <c r="B49" t="s">
        <v>1080</v>
      </c>
      <c r="C49" t="s">
        <v>170</v>
      </c>
      <c r="D49" t="s">
        <v>1237</v>
      </c>
      <c r="E49" t="s">
        <v>926</v>
      </c>
      <c r="F49" t="s">
        <v>528</v>
      </c>
      <c r="G49">
        <v>1980</v>
      </c>
      <c r="I49" t="str">
        <f t="shared" si="0"/>
        <v>INSERT INTO T_Dim_J VALUES ('48', 'M', 'Steven', 'GERRARD', 'Midfielder', 'ENGLAND', '1980');</v>
      </c>
    </row>
    <row r="50" spans="1:9" x14ac:dyDescent="0.35">
      <c r="A50">
        <v>49</v>
      </c>
      <c r="B50" t="s">
        <v>1080</v>
      </c>
      <c r="C50" t="s">
        <v>158</v>
      </c>
      <c r="D50" t="s">
        <v>1312</v>
      </c>
      <c r="E50" t="s">
        <v>926</v>
      </c>
      <c r="F50" t="s">
        <v>536</v>
      </c>
      <c r="G50">
        <v>1980</v>
      </c>
      <c r="I50" t="str">
        <f t="shared" si="0"/>
        <v>INSERT INTO T_Dim_J VALUES ('49', 'M', 'Andrea', 'PIRLO', 'Midfielder', 'ITALY', '1980');</v>
      </c>
    </row>
    <row r="51" spans="1:9" x14ac:dyDescent="0.35">
      <c r="A51">
        <v>50</v>
      </c>
      <c r="B51" t="s">
        <v>1080</v>
      </c>
      <c r="C51" t="s">
        <v>591</v>
      </c>
      <c r="D51" t="s">
        <v>1103</v>
      </c>
      <c r="E51" t="s">
        <v>487</v>
      </c>
      <c r="F51" t="s">
        <v>1106</v>
      </c>
      <c r="G51">
        <v>1981</v>
      </c>
      <c r="I51" t="str">
        <f t="shared" si="0"/>
        <v>INSERT INTO T_Dim_J VALUES ('50', 'M', 'Iker', 'CASILLAS', 'Goalkeeper', 'SPAIN', '1981');</v>
      </c>
    </row>
    <row r="52" spans="1:9" x14ac:dyDescent="0.35">
      <c r="A52">
        <v>51</v>
      </c>
      <c r="B52" t="s">
        <v>1080</v>
      </c>
      <c r="C52" t="s">
        <v>154</v>
      </c>
      <c r="D52" t="s">
        <v>1278</v>
      </c>
      <c r="E52" t="s">
        <v>926</v>
      </c>
      <c r="F52" t="s">
        <v>1106</v>
      </c>
      <c r="G52">
        <v>1981</v>
      </c>
      <c r="I52" t="str">
        <f t="shared" si="0"/>
        <v>INSERT INTO T_Dim_J VALUES ('51', 'M', 'Xavier', 'XAVI', 'Midfielder', 'SPAIN', '1981');</v>
      </c>
    </row>
    <row r="53" spans="1:9" x14ac:dyDescent="0.35">
      <c r="A53">
        <v>52</v>
      </c>
      <c r="B53" t="s">
        <v>1080</v>
      </c>
      <c r="C53" t="s">
        <v>156</v>
      </c>
      <c r="D53" t="s">
        <v>1267</v>
      </c>
      <c r="E53" t="s">
        <v>914</v>
      </c>
      <c r="F53" t="s">
        <v>532</v>
      </c>
      <c r="G53">
        <v>1982</v>
      </c>
      <c r="I53" t="str">
        <f t="shared" si="0"/>
        <v>INSERT INTO T_Dim_J VALUES ('52', 'M', 'Samuel', 'ETO'O', 'Forward', 'CAMEROON', '1982');</v>
      </c>
    </row>
    <row r="54" spans="1:9" x14ac:dyDescent="0.35">
      <c r="A54">
        <v>53</v>
      </c>
      <c r="B54" t="s">
        <v>1080</v>
      </c>
      <c r="C54" t="s">
        <v>160</v>
      </c>
      <c r="D54" t="s">
        <v>1347</v>
      </c>
      <c r="E54" t="s">
        <v>914</v>
      </c>
      <c r="F54" t="s">
        <v>1373</v>
      </c>
      <c r="G54">
        <v>1982</v>
      </c>
      <c r="I54" t="str">
        <f t="shared" si="0"/>
        <v>INSERT INTO T_Dim_J VALUES ('53', 'M', 'Zlatan', 'IBRAHIMOVIĆ', 'Forward', 'SWEDEN', '1982');</v>
      </c>
    </row>
    <row r="55" spans="1:9" x14ac:dyDescent="0.35">
      <c r="A55">
        <v>54</v>
      </c>
      <c r="B55" t="s">
        <v>1080</v>
      </c>
      <c r="C55" t="s">
        <v>152</v>
      </c>
      <c r="D55" t="s">
        <v>1279</v>
      </c>
      <c r="E55" t="s">
        <v>926</v>
      </c>
      <c r="F55" t="s">
        <v>1106</v>
      </c>
      <c r="G55">
        <v>1984</v>
      </c>
      <c r="I55" t="str">
        <f t="shared" si="0"/>
        <v>INSERT INTO T_Dim_J VALUES ('54', 'M', 'Andrés', 'INIESTA', 'Midfielder', 'SPAIN', '1984');</v>
      </c>
    </row>
    <row r="56" spans="1:9" x14ac:dyDescent="0.35">
      <c r="A56">
        <v>55</v>
      </c>
      <c r="B56" t="s">
        <v>1080</v>
      </c>
      <c r="C56" t="s">
        <v>65</v>
      </c>
      <c r="D56" t="s">
        <v>1256</v>
      </c>
      <c r="E56" t="s">
        <v>923</v>
      </c>
      <c r="F56" t="s">
        <v>531</v>
      </c>
      <c r="G56">
        <v>1984</v>
      </c>
      <c r="I56" t="str">
        <f t="shared" si="0"/>
        <v>INSERT INTO T_Dim_J VALUES ('55', 'M', 'Silva', 'THIAGO', 'Defender', 'BRAZIL', '1984');</v>
      </c>
    </row>
    <row r="57" spans="1:9" x14ac:dyDescent="0.35">
      <c r="A57">
        <v>56</v>
      </c>
      <c r="B57" t="s">
        <v>1080</v>
      </c>
      <c r="C57" t="s">
        <v>78</v>
      </c>
      <c r="D57" t="s">
        <v>1313</v>
      </c>
      <c r="E57" t="s">
        <v>923</v>
      </c>
      <c r="F57" t="s">
        <v>536</v>
      </c>
      <c r="G57">
        <v>1985</v>
      </c>
      <c r="I57" t="str">
        <f t="shared" si="0"/>
        <v>INSERT INTO T_Dim_J VALUES ('56', 'M', 'Giorgio', 'CHIELLINI', 'Defender', 'ITALY', '1985');</v>
      </c>
    </row>
    <row r="58" spans="1:9" x14ac:dyDescent="0.35">
      <c r="A58">
        <v>57</v>
      </c>
      <c r="B58" t="s">
        <v>1080</v>
      </c>
      <c r="C58" t="s">
        <v>163</v>
      </c>
      <c r="D58" t="s">
        <v>1329</v>
      </c>
      <c r="E58" t="s">
        <v>914</v>
      </c>
      <c r="F58" t="s">
        <v>1105</v>
      </c>
      <c r="G58">
        <v>1985</v>
      </c>
      <c r="I58" t="str">
        <f t="shared" si="0"/>
        <v>INSERT INTO T_Dim_J VALUES ('57', 'M', 'Arjen', 'ROBBEN', 'Forward', 'NETHERLANDS', '1985');</v>
      </c>
    </row>
    <row r="59" spans="1:9" x14ac:dyDescent="0.35">
      <c r="A59">
        <v>58</v>
      </c>
      <c r="B59" t="s">
        <v>1080</v>
      </c>
      <c r="C59" t="s">
        <v>10</v>
      </c>
      <c r="D59" t="s">
        <v>1101</v>
      </c>
      <c r="E59" t="s">
        <v>914</v>
      </c>
      <c r="F59" t="s">
        <v>1086</v>
      </c>
      <c r="G59">
        <v>1985</v>
      </c>
      <c r="I59" t="str">
        <f t="shared" si="0"/>
        <v>INSERT INTO T_Dim_J VALUES ('58', 'M', 'Cristiano', 'RONALDO', 'Forward', 'PORTUGAL', '1985');</v>
      </c>
    </row>
    <row r="60" spans="1:9" x14ac:dyDescent="0.35">
      <c r="A60">
        <v>59</v>
      </c>
      <c r="B60" t="s">
        <v>1080</v>
      </c>
      <c r="C60" t="s">
        <v>24</v>
      </c>
      <c r="D60" t="s">
        <v>1272</v>
      </c>
      <c r="E60" t="s">
        <v>926</v>
      </c>
      <c r="F60" t="s">
        <v>534</v>
      </c>
      <c r="G60">
        <v>1986</v>
      </c>
      <c r="I60" t="str">
        <f t="shared" si="0"/>
        <v>INSERT INTO T_Dim_J VALUES ('59', 'M', 'Luka', 'MODRIĆ', 'Midfielder', 'CROATIA', '1986');</v>
      </c>
    </row>
    <row r="61" spans="1:9" x14ac:dyDescent="0.35">
      <c r="A61">
        <v>60</v>
      </c>
      <c r="B61" t="s">
        <v>1080</v>
      </c>
      <c r="C61" t="s">
        <v>67</v>
      </c>
      <c r="D61" t="s">
        <v>507</v>
      </c>
      <c r="E61" t="s">
        <v>487</v>
      </c>
      <c r="F61" t="s">
        <v>527</v>
      </c>
      <c r="G61">
        <v>1986</v>
      </c>
      <c r="I61" t="str">
        <f t="shared" si="0"/>
        <v>INSERT INTO T_Dim_J VALUES ('60', 'M', 'Manuel', 'NEUER', 'Goalkeeper', 'GERMANY', '1986');</v>
      </c>
    </row>
    <row r="62" spans="1:9" x14ac:dyDescent="0.35">
      <c r="A62">
        <v>61</v>
      </c>
      <c r="B62" t="s">
        <v>1080</v>
      </c>
      <c r="C62" t="s">
        <v>326</v>
      </c>
      <c r="D62" t="s">
        <v>522</v>
      </c>
      <c r="E62" t="s">
        <v>487</v>
      </c>
      <c r="F62" t="s">
        <v>537</v>
      </c>
      <c r="G62">
        <v>1986</v>
      </c>
      <c r="I62" t="str">
        <f t="shared" si="0"/>
        <v>INSERT INTO T_Dim_J VALUES ('61', 'M', 'Guillermo', 'OCHOA', 'Goalkeeper', 'MEXICO', '1986');</v>
      </c>
    </row>
    <row r="63" spans="1:9" x14ac:dyDescent="0.35">
      <c r="A63">
        <v>62</v>
      </c>
      <c r="B63" t="s">
        <v>1080</v>
      </c>
      <c r="C63" t="s">
        <v>46</v>
      </c>
      <c r="D63" t="s">
        <v>1280</v>
      </c>
      <c r="E63" t="s">
        <v>923</v>
      </c>
      <c r="F63" t="s">
        <v>1106</v>
      </c>
      <c r="G63">
        <v>1986</v>
      </c>
      <c r="I63" t="str">
        <f t="shared" si="0"/>
        <v>INSERT INTO T_Dim_J VALUES ('62', 'M', 'Sergio', 'RAMOS', 'Defender', 'SPAIN', '1986');</v>
      </c>
    </row>
    <row r="64" spans="1:9" x14ac:dyDescent="0.35">
      <c r="A64">
        <v>63</v>
      </c>
      <c r="B64" t="s">
        <v>1080</v>
      </c>
      <c r="C64" t="s">
        <v>189</v>
      </c>
      <c r="D64" t="s">
        <v>1314</v>
      </c>
      <c r="E64" t="s">
        <v>923</v>
      </c>
      <c r="F64" t="s">
        <v>536</v>
      </c>
      <c r="G64">
        <v>1987</v>
      </c>
      <c r="I64" t="str">
        <f t="shared" si="0"/>
        <v>INSERT INTO T_Dim_J VALUES ('63', 'M', 'Leonardo', 'BONUCCI', 'Defender', 'ITALY', '1987');</v>
      </c>
    </row>
    <row r="65" spans="1:9" x14ac:dyDescent="0.35">
      <c r="A65">
        <v>64</v>
      </c>
      <c r="B65" t="s">
        <v>1080</v>
      </c>
      <c r="C65" t="s">
        <v>191</v>
      </c>
      <c r="D65" t="s">
        <v>1344</v>
      </c>
      <c r="E65" t="s">
        <v>923</v>
      </c>
      <c r="F65" t="s">
        <v>1372</v>
      </c>
      <c r="G65">
        <v>1987</v>
      </c>
      <c r="I65" t="str">
        <f t="shared" si="0"/>
        <v>INSERT INTO T_Dim_J VALUES ('64', 'M', 'Aleksandar', 'KOLAROV', 'Defender', 'SERBIA', '1987');</v>
      </c>
    </row>
    <row r="66" spans="1:9" x14ac:dyDescent="0.35">
      <c r="A66">
        <v>65</v>
      </c>
      <c r="B66" t="s">
        <v>1080</v>
      </c>
      <c r="C66" t="s">
        <v>134</v>
      </c>
      <c r="D66" t="s">
        <v>519</v>
      </c>
      <c r="E66" t="s">
        <v>487</v>
      </c>
      <c r="F66" t="s">
        <v>535</v>
      </c>
      <c r="G66">
        <v>1987</v>
      </c>
      <c r="I66" t="str">
        <f t="shared" si="0"/>
        <v>INSERT INTO T_Dim_J VALUES ('65', 'M', 'Hugo', 'LLORIS', 'Goalkeeper', 'FRANCE', '1987');</v>
      </c>
    </row>
    <row r="67" spans="1:9" x14ac:dyDescent="0.35">
      <c r="A67">
        <v>66</v>
      </c>
      <c r="B67" t="s">
        <v>1080</v>
      </c>
      <c r="C67" t="s">
        <v>6</v>
      </c>
      <c r="D67" t="s">
        <v>1104</v>
      </c>
      <c r="E67" t="s">
        <v>914</v>
      </c>
      <c r="F67" t="s">
        <v>529</v>
      </c>
      <c r="G67">
        <v>1987</v>
      </c>
      <c r="I67" t="str">
        <f t="shared" ref="I67:I130" si="1">CONCATENATE("INSERT INTO T_Dim_J VALUES ('",A67,$I$1,B67,$I$1,C67,$I$1,D67,$I$1,E67,$I$1,F67,$I$1,G67,"');")</f>
        <v>INSERT INTO T_Dim_J VALUES ('66', 'M', 'Lionel', 'MESSI', 'Forward', 'ARGENTINA', '1987');</v>
      </c>
    </row>
    <row r="68" spans="1:9" x14ac:dyDescent="0.35">
      <c r="A68">
        <v>67</v>
      </c>
      <c r="B68" t="s">
        <v>1080</v>
      </c>
      <c r="C68" t="s">
        <v>317</v>
      </c>
      <c r="D68" t="s">
        <v>517</v>
      </c>
      <c r="E68" t="s">
        <v>487</v>
      </c>
      <c r="F68" t="s">
        <v>1362</v>
      </c>
      <c r="G68">
        <v>1987</v>
      </c>
      <c r="I68" t="str">
        <f t="shared" si="1"/>
        <v>INSERT INTO T_Dim_J VALUES ('67', 'M', 'Keylor', 'NAVAS', 'Goalkeeper', 'COSTA-RICA', '1987');</v>
      </c>
    </row>
    <row r="69" spans="1:9" x14ac:dyDescent="0.35">
      <c r="A69">
        <v>68</v>
      </c>
      <c r="B69" t="s">
        <v>1080</v>
      </c>
      <c r="C69" t="s">
        <v>149</v>
      </c>
      <c r="D69" t="s">
        <v>1281</v>
      </c>
      <c r="E69" t="s">
        <v>923</v>
      </c>
      <c r="F69" t="s">
        <v>1106</v>
      </c>
      <c r="G69">
        <v>1987</v>
      </c>
      <c r="I69" t="str">
        <f t="shared" si="1"/>
        <v>INSERT INTO T_Dim_J VALUES ('68', 'M', 'Gerard', 'PIQUÉ', 'Defender', 'SPAIN', '1987');</v>
      </c>
    </row>
    <row r="70" spans="1:9" x14ac:dyDescent="0.35">
      <c r="A70">
        <v>69</v>
      </c>
      <c r="B70" t="s">
        <v>1080</v>
      </c>
      <c r="C70" t="s">
        <v>58</v>
      </c>
      <c r="D70" t="s">
        <v>1350</v>
      </c>
      <c r="E70" t="s">
        <v>914</v>
      </c>
      <c r="F70" t="s">
        <v>1374</v>
      </c>
      <c r="G70">
        <v>1987</v>
      </c>
      <c r="I70" t="str">
        <f t="shared" si="1"/>
        <v>INSERT INTO T_Dim_J VALUES ('69', 'M', 'Luis', 'SUÁREZ', 'Forward', 'URUGUAY', '1987');</v>
      </c>
    </row>
    <row r="71" spans="1:9" x14ac:dyDescent="0.35">
      <c r="A71">
        <v>70</v>
      </c>
      <c r="B71" t="s">
        <v>1080</v>
      </c>
      <c r="C71" t="s">
        <v>22</v>
      </c>
      <c r="D71" t="s">
        <v>1295</v>
      </c>
      <c r="E71" t="s">
        <v>914</v>
      </c>
      <c r="F71" t="s">
        <v>535</v>
      </c>
      <c r="G71">
        <v>1988</v>
      </c>
      <c r="I71" t="str">
        <f t="shared" si="1"/>
        <v>INSERT INTO T_Dim_J VALUES ('70', 'M', 'Karim', 'BENZEMA', 'Forward', 'FRANCE', '1988');</v>
      </c>
    </row>
    <row r="72" spans="1:9" x14ac:dyDescent="0.35">
      <c r="A72">
        <v>71</v>
      </c>
      <c r="B72" t="s">
        <v>1080</v>
      </c>
      <c r="C72" t="s">
        <v>46</v>
      </c>
      <c r="D72" t="s">
        <v>1282</v>
      </c>
      <c r="E72" t="s">
        <v>926</v>
      </c>
      <c r="F72" t="s">
        <v>1106</v>
      </c>
      <c r="G72">
        <v>1988</v>
      </c>
      <c r="I72" t="str">
        <f t="shared" si="1"/>
        <v>INSERT INTO T_Dim_J VALUES ('71', 'M', 'Sergio', 'BUSQUETS', 'Midfielder', 'SPAIN', '1988');</v>
      </c>
    </row>
    <row r="73" spans="1:9" x14ac:dyDescent="0.35">
      <c r="A73">
        <v>72</v>
      </c>
      <c r="B73" t="s">
        <v>1080</v>
      </c>
      <c r="C73" t="s">
        <v>168</v>
      </c>
      <c r="D73" t="s">
        <v>1351</v>
      </c>
      <c r="E73" t="s">
        <v>914</v>
      </c>
      <c r="F73" t="s">
        <v>1374</v>
      </c>
      <c r="G73">
        <v>1988</v>
      </c>
      <c r="I73" t="str">
        <f t="shared" si="1"/>
        <v>INSERT INTO T_Dim_J VALUES ('72', 'M', 'Edinson', 'CAVANI', 'Forward', 'URUGUAY', '1988');</v>
      </c>
    </row>
    <row r="74" spans="1:9" x14ac:dyDescent="0.35">
      <c r="A74">
        <v>73</v>
      </c>
      <c r="B74" t="s">
        <v>1080</v>
      </c>
      <c r="C74" t="s">
        <v>104</v>
      </c>
      <c r="D74" t="s">
        <v>1246</v>
      </c>
      <c r="E74" t="s">
        <v>926</v>
      </c>
      <c r="F74" t="s">
        <v>529</v>
      </c>
      <c r="G74">
        <v>1988</v>
      </c>
      <c r="I74" t="str">
        <f t="shared" si="1"/>
        <v>INSERT INTO T_Dim_J VALUES ('73', 'M', 'Ãngel', 'DI MARIA', 'Midfielder', 'ARGENTINA', '1988');</v>
      </c>
    </row>
    <row r="75" spans="1:9" x14ac:dyDescent="0.35">
      <c r="A75">
        <v>74</v>
      </c>
      <c r="B75" t="s">
        <v>1080</v>
      </c>
      <c r="C75" t="s">
        <v>19</v>
      </c>
      <c r="D75" t="s">
        <v>1336</v>
      </c>
      <c r="E75" t="s">
        <v>914</v>
      </c>
      <c r="F75" t="s">
        <v>538</v>
      </c>
      <c r="G75">
        <v>1988</v>
      </c>
      <c r="I75" t="str">
        <f t="shared" si="1"/>
        <v>INSERT INTO T_Dim_J VALUES ('74', 'M', 'Robert', 'LEWANDOWSKI', 'Forward', 'POLAND', '1988');</v>
      </c>
    </row>
    <row r="76" spans="1:9" x14ac:dyDescent="0.35">
      <c r="A76">
        <v>75</v>
      </c>
      <c r="B76" t="s">
        <v>1080</v>
      </c>
      <c r="C76" t="s">
        <v>63</v>
      </c>
      <c r="D76" t="s">
        <v>1283</v>
      </c>
      <c r="E76" t="s">
        <v>923</v>
      </c>
      <c r="F76" t="s">
        <v>1106</v>
      </c>
      <c r="G76">
        <v>1989</v>
      </c>
      <c r="I76" t="str">
        <f t="shared" si="1"/>
        <v>INSERT INTO T_Dim_J VALUES ('75', 'M', 'Jordi', 'ALBA', 'Defender', 'SPAIN', '1989');</v>
      </c>
    </row>
    <row r="77" spans="1:9" x14ac:dyDescent="0.35">
      <c r="A77">
        <v>76</v>
      </c>
      <c r="B77" t="s">
        <v>1080</v>
      </c>
      <c r="C77" t="s">
        <v>61</v>
      </c>
      <c r="D77" t="s">
        <v>1225</v>
      </c>
      <c r="E77" t="s">
        <v>926</v>
      </c>
      <c r="F77" t="s">
        <v>527</v>
      </c>
      <c r="G77">
        <v>1989</v>
      </c>
      <c r="I77" t="str">
        <f t="shared" si="1"/>
        <v>INSERT INTO T_Dim_J VALUES ('76', 'M', 'Thomas', 'MÜLLER', 'Midfielder', 'GERMANY', '1989');</v>
      </c>
    </row>
    <row r="78" spans="1:9" x14ac:dyDescent="0.35">
      <c r="A78">
        <v>77</v>
      </c>
      <c r="B78" t="s">
        <v>1080</v>
      </c>
      <c r="C78" t="s">
        <v>76</v>
      </c>
      <c r="D78" t="s">
        <v>1226</v>
      </c>
      <c r="E78" t="s">
        <v>926</v>
      </c>
      <c r="F78" t="s">
        <v>527</v>
      </c>
      <c r="G78">
        <v>1989</v>
      </c>
      <c r="I78" t="str">
        <f t="shared" si="1"/>
        <v>INSERT INTO T_Dim_J VALUES ('77', 'M', 'Mesut', 'ÖZIL', 'Midfielder', 'GERMANY', '1989');</v>
      </c>
    </row>
    <row r="79" spans="1:9" x14ac:dyDescent="0.35">
      <c r="A79">
        <v>78</v>
      </c>
      <c r="B79" t="s">
        <v>1080</v>
      </c>
      <c r="C79" t="s">
        <v>176</v>
      </c>
      <c r="D79" t="s">
        <v>1227</v>
      </c>
      <c r="E79" t="s">
        <v>914</v>
      </c>
      <c r="F79" t="s">
        <v>527</v>
      </c>
      <c r="G79">
        <v>1989</v>
      </c>
      <c r="I79" t="str">
        <f t="shared" si="1"/>
        <v>INSERT INTO T_Dim_J VALUES ('78', 'M', 'Marco', 'REUS', 'Forward', 'GERMANY', '1989');</v>
      </c>
    </row>
    <row r="80" spans="1:9" x14ac:dyDescent="0.35">
      <c r="A80">
        <v>79</v>
      </c>
      <c r="B80" t="s">
        <v>1080</v>
      </c>
      <c r="C80" t="s">
        <v>321</v>
      </c>
      <c r="D80" t="s">
        <v>525</v>
      </c>
      <c r="E80" t="s">
        <v>487</v>
      </c>
      <c r="F80" t="s">
        <v>540</v>
      </c>
      <c r="G80">
        <v>1989</v>
      </c>
      <c r="I80" t="str">
        <f t="shared" si="1"/>
        <v>INSERT INTO T_Dim_J VALUES ('79', 'M', 'Yann', 'SOMMER', 'Goalkeeper', 'SWITZERLAND', '1989');</v>
      </c>
    </row>
    <row r="81" spans="1:9" x14ac:dyDescent="0.35">
      <c r="A81">
        <v>80</v>
      </c>
      <c r="B81" t="s">
        <v>1080</v>
      </c>
      <c r="C81" t="s">
        <v>126</v>
      </c>
      <c r="D81" t="s">
        <v>1345</v>
      </c>
      <c r="E81" t="s">
        <v>926</v>
      </c>
      <c r="F81" t="s">
        <v>1372</v>
      </c>
      <c r="G81">
        <v>1989</v>
      </c>
      <c r="I81" t="str">
        <f t="shared" si="1"/>
        <v>INSERT INTO T_Dim_J VALUES ('80', 'M', 'Dusan', 'TADIC', 'Midfielder', 'SERBIA', '1989');</v>
      </c>
    </row>
    <row r="82" spans="1:9" x14ac:dyDescent="0.35">
      <c r="A82">
        <v>81</v>
      </c>
      <c r="B82" t="s">
        <v>1080</v>
      </c>
      <c r="C82" t="s">
        <v>165</v>
      </c>
      <c r="D82" t="s">
        <v>1328</v>
      </c>
      <c r="E82" t="s">
        <v>914</v>
      </c>
      <c r="F82" t="s">
        <v>1375</v>
      </c>
      <c r="G82">
        <v>1990</v>
      </c>
      <c r="I82" t="str">
        <f t="shared" si="1"/>
        <v>INSERT INTO T_Dim_J VALUES ('81', 'M', 'Gareth', 'BALE', 'Forward', 'WALES', '1990');</v>
      </c>
    </row>
    <row r="83" spans="1:9" x14ac:dyDescent="0.35">
      <c r="A83">
        <v>82</v>
      </c>
      <c r="B83" t="s">
        <v>1080</v>
      </c>
      <c r="C83" t="s">
        <v>194</v>
      </c>
      <c r="D83" t="s">
        <v>1315</v>
      </c>
      <c r="E83" t="s">
        <v>914</v>
      </c>
      <c r="F83" t="s">
        <v>536</v>
      </c>
      <c r="G83">
        <v>1990</v>
      </c>
      <c r="I83" t="str">
        <f t="shared" si="1"/>
        <v>INSERT INTO T_Dim_J VALUES ('82', 'M', 'Lorenzo', 'INSIGNE', 'Forward', 'ITALY', '1990');</v>
      </c>
    </row>
    <row r="84" spans="1:9" x14ac:dyDescent="0.35">
      <c r="A84">
        <v>83</v>
      </c>
      <c r="B84" t="s">
        <v>1080</v>
      </c>
      <c r="C84" t="s">
        <v>174</v>
      </c>
      <c r="D84" t="s">
        <v>1228</v>
      </c>
      <c r="E84" t="s">
        <v>926</v>
      </c>
      <c r="F84" t="s">
        <v>527</v>
      </c>
      <c r="G84">
        <v>1990</v>
      </c>
      <c r="I84" t="str">
        <f t="shared" si="1"/>
        <v>INSERT INTO T_Dim_J VALUES ('83', 'M', 'Toni', 'KROOS', 'Midfielder', 'GERMANY', '1990');</v>
      </c>
    </row>
    <row r="85" spans="1:9" x14ac:dyDescent="0.35">
      <c r="A85">
        <v>84</v>
      </c>
      <c r="B85" t="s">
        <v>1080</v>
      </c>
      <c r="C85" t="s">
        <v>28</v>
      </c>
      <c r="D85" t="s">
        <v>1253</v>
      </c>
      <c r="E85" t="s">
        <v>926</v>
      </c>
      <c r="F85" t="s">
        <v>530</v>
      </c>
      <c r="G85">
        <v>1991</v>
      </c>
      <c r="I85" t="str">
        <f t="shared" si="1"/>
        <v>INSERT INTO T_Dim_J VALUES ('84', 'M', 'Kevin', 'DE BRUYNE', 'Midfielder', 'BELGIUM', '1991');</v>
      </c>
    </row>
    <row r="86" spans="1:9" x14ac:dyDescent="0.35">
      <c r="A86">
        <v>85</v>
      </c>
      <c r="B86" t="s">
        <v>1080</v>
      </c>
      <c r="C86" t="s">
        <v>56</v>
      </c>
      <c r="D86" t="s">
        <v>1296</v>
      </c>
      <c r="E86" t="s">
        <v>914</v>
      </c>
      <c r="F86" t="s">
        <v>535</v>
      </c>
      <c r="G86">
        <v>1991</v>
      </c>
      <c r="I86" t="str">
        <f t="shared" si="1"/>
        <v>INSERT INTO T_Dim_J VALUES ('85', 'M', 'Antoine', 'GRIEZMANN', 'Forward', 'FRANCE', '1991');</v>
      </c>
    </row>
    <row r="87" spans="1:9" x14ac:dyDescent="0.35">
      <c r="A87">
        <v>86</v>
      </c>
      <c r="B87" t="s">
        <v>1080</v>
      </c>
      <c r="C87" t="s">
        <v>92</v>
      </c>
      <c r="D87" t="s">
        <v>1229</v>
      </c>
      <c r="E87" t="s">
        <v>926</v>
      </c>
      <c r="F87" t="s">
        <v>527</v>
      </c>
      <c r="G87">
        <v>1991</v>
      </c>
      <c r="I87" t="str">
        <f t="shared" si="1"/>
        <v>INSERT INTO T_Dim_J VALUES ('86', 'M', 'Ilkay', 'GÜNDOĞAN', 'Midfielder', 'GERMANY', '1991');</v>
      </c>
    </row>
    <row r="88" spans="1:9" x14ac:dyDescent="0.35">
      <c r="A88">
        <v>87</v>
      </c>
      <c r="B88" t="s">
        <v>1080</v>
      </c>
      <c r="C88" t="s">
        <v>54</v>
      </c>
      <c r="D88" t="s">
        <v>1297</v>
      </c>
      <c r="E88" t="s">
        <v>926</v>
      </c>
      <c r="F88" t="s">
        <v>535</v>
      </c>
      <c r="G88">
        <v>1991</v>
      </c>
      <c r="I88" t="str">
        <f t="shared" si="1"/>
        <v>INSERT INTO T_Dim_J VALUES ('87', 'M', 'N'Golo', 'KANTÉ', 'Midfielder', 'FRANCE', '1991');</v>
      </c>
    </row>
    <row r="89" spans="1:9" x14ac:dyDescent="0.35">
      <c r="A89">
        <v>88</v>
      </c>
      <c r="B89" t="s">
        <v>1080</v>
      </c>
      <c r="C89" t="s">
        <v>199</v>
      </c>
      <c r="D89" t="s">
        <v>1224</v>
      </c>
      <c r="E89" t="s">
        <v>926</v>
      </c>
      <c r="F89" t="s">
        <v>1359</v>
      </c>
      <c r="G89">
        <v>1991</v>
      </c>
      <c r="I89" t="str">
        <f t="shared" si="1"/>
        <v>INSERT INTO T_Dim_J VALUES ('88', 'M', 'Riyad', 'MAHREZ', 'Midfielder', 'ALGERIA', '1991');</v>
      </c>
    </row>
    <row r="90" spans="1:9" x14ac:dyDescent="0.35">
      <c r="A90">
        <v>89</v>
      </c>
      <c r="B90" t="s">
        <v>1080</v>
      </c>
      <c r="C90" t="s">
        <v>315</v>
      </c>
      <c r="D90" t="s">
        <v>523</v>
      </c>
      <c r="E90" t="s">
        <v>487</v>
      </c>
      <c r="F90" t="s">
        <v>538</v>
      </c>
      <c r="G90">
        <v>1991</v>
      </c>
      <c r="I90" t="str">
        <f t="shared" si="1"/>
        <v>INSERT INTO T_Dim_J VALUES ('89', 'M', 'Wojciech', 'SZCZĘSNY', 'Goalkeeper', 'POLAND', '1991');</v>
      </c>
    </row>
    <row r="91" spans="1:9" x14ac:dyDescent="0.35">
      <c r="A91">
        <v>90</v>
      </c>
      <c r="B91" t="s">
        <v>1080</v>
      </c>
      <c r="C91" t="s">
        <v>34</v>
      </c>
      <c r="D91" t="s">
        <v>1330</v>
      </c>
      <c r="E91" t="s">
        <v>923</v>
      </c>
      <c r="F91" t="s">
        <v>1105</v>
      </c>
      <c r="G91">
        <v>1991</v>
      </c>
      <c r="I91" t="str">
        <f t="shared" si="1"/>
        <v>INSERT INTO T_Dim_J VALUES ('90', 'M', 'Virgil', 'VAN DIJK', 'Defender', 'NETHERLANDS', '1991');</v>
      </c>
    </row>
    <row r="92" spans="1:9" x14ac:dyDescent="0.35">
      <c r="A92">
        <v>91</v>
      </c>
      <c r="B92" t="s">
        <v>1080</v>
      </c>
      <c r="C92" t="s">
        <v>44</v>
      </c>
      <c r="D92" t="s">
        <v>514</v>
      </c>
      <c r="E92" t="s">
        <v>487</v>
      </c>
      <c r="F92" t="s">
        <v>531</v>
      </c>
      <c r="G92">
        <v>1992</v>
      </c>
      <c r="I92" t="str">
        <f t="shared" si="1"/>
        <v>INSERT INTO T_Dim_J VALUES ('91', 'M', 'Becker', 'ALISSON', 'Goalkeeper', 'BRAZIL', '1992');</v>
      </c>
    </row>
    <row r="93" spans="1:9" x14ac:dyDescent="0.35">
      <c r="A93">
        <v>92</v>
      </c>
      <c r="B93" t="s">
        <v>1080</v>
      </c>
      <c r="C93" t="s">
        <v>69</v>
      </c>
      <c r="D93" t="s">
        <v>1257</v>
      </c>
      <c r="E93" t="s">
        <v>926</v>
      </c>
      <c r="F93" t="s">
        <v>531</v>
      </c>
      <c r="G93">
        <v>1992</v>
      </c>
      <c r="I93" t="str">
        <f t="shared" si="1"/>
        <v>INSERT INTO T_Dim_J VALUES ('92', 'M', 'Carlos', 'CASEMIRO', 'Midfielder', 'BRAZIL', '1992');</v>
      </c>
    </row>
    <row r="94" spans="1:9" x14ac:dyDescent="0.35">
      <c r="A94">
        <v>93</v>
      </c>
      <c r="B94" t="s">
        <v>1080</v>
      </c>
      <c r="C94" t="s">
        <v>41</v>
      </c>
      <c r="D94" t="s">
        <v>513</v>
      </c>
      <c r="E94" t="s">
        <v>487</v>
      </c>
      <c r="F94" t="s">
        <v>530</v>
      </c>
      <c r="G94">
        <v>1992</v>
      </c>
      <c r="I94" t="str">
        <f t="shared" si="1"/>
        <v>INSERT INTO T_Dim_J VALUES ('93', 'M', 'Thibaut', 'COURTOIS', 'Goalkeeper', 'BELGIUM', '1992');</v>
      </c>
    </row>
    <row r="95" spans="1:9" x14ac:dyDescent="0.35">
      <c r="A95">
        <v>94</v>
      </c>
      <c r="B95" t="s">
        <v>1080</v>
      </c>
      <c r="C95" t="s">
        <v>183</v>
      </c>
      <c r="D95" t="s">
        <v>1316</v>
      </c>
      <c r="E95" t="s">
        <v>926</v>
      </c>
      <c r="F95" t="s">
        <v>536</v>
      </c>
      <c r="G95">
        <v>1992</v>
      </c>
      <c r="I95" t="str">
        <f t="shared" si="1"/>
        <v>INSERT INTO T_Dim_J VALUES ('94', 'M', 'Jorge', 'JORGINHO', 'Midfielder', 'ITALY', '1992');</v>
      </c>
    </row>
    <row r="96" spans="1:9" x14ac:dyDescent="0.35">
      <c r="A96">
        <v>95</v>
      </c>
      <c r="B96" t="s">
        <v>1080</v>
      </c>
      <c r="C96" t="s">
        <v>13</v>
      </c>
      <c r="D96" t="s">
        <v>1258</v>
      </c>
      <c r="E96" t="s">
        <v>914</v>
      </c>
      <c r="F96" t="s">
        <v>531</v>
      </c>
      <c r="G96">
        <v>1992</v>
      </c>
      <c r="I96" t="str">
        <f t="shared" si="1"/>
        <v>INSERT INTO T_Dim_J VALUES ('95', 'M', 'Junior', 'NEYMAR', 'Forward', 'BRAZIL', '1992');</v>
      </c>
    </row>
    <row r="97" spans="1:9" x14ac:dyDescent="0.35">
      <c r="A97">
        <v>96</v>
      </c>
      <c r="B97" t="s">
        <v>1080</v>
      </c>
      <c r="C97" t="s">
        <v>313</v>
      </c>
      <c r="D97" t="s">
        <v>509</v>
      </c>
      <c r="E97" t="s">
        <v>487</v>
      </c>
      <c r="F97" t="s">
        <v>528</v>
      </c>
      <c r="G97">
        <v>1992</v>
      </c>
      <c r="I97" t="str">
        <f t="shared" si="1"/>
        <v>INSERT INTO T_Dim_J VALUES ('96', 'M', 'Nick', 'POPE', 'Goalkeeper', 'ENGLAND', '1992');</v>
      </c>
    </row>
    <row r="98" spans="1:9" x14ac:dyDescent="0.35">
      <c r="A98">
        <v>97</v>
      </c>
      <c r="B98" t="s">
        <v>1080</v>
      </c>
      <c r="C98" t="s">
        <v>31</v>
      </c>
      <c r="D98" t="s">
        <v>1276</v>
      </c>
      <c r="E98" t="s">
        <v>914</v>
      </c>
      <c r="F98" t="s">
        <v>1365</v>
      </c>
      <c r="G98">
        <v>1992</v>
      </c>
      <c r="I98" t="str">
        <f t="shared" si="1"/>
        <v>INSERT INTO T_Dim_J VALUES ('97', 'M', 'Mohamed', 'SALAH', 'Forward', 'EGYPT', '1992');</v>
      </c>
    </row>
    <row r="99" spans="1:9" x14ac:dyDescent="0.35">
      <c r="A99">
        <v>98</v>
      </c>
      <c r="B99" t="s">
        <v>1080</v>
      </c>
      <c r="C99" t="s">
        <v>88</v>
      </c>
      <c r="D99" t="s">
        <v>1269</v>
      </c>
      <c r="E99" t="s">
        <v>914</v>
      </c>
      <c r="F99" t="s">
        <v>1361</v>
      </c>
      <c r="G99">
        <v>1992</v>
      </c>
      <c r="I99" t="str">
        <f t="shared" si="1"/>
        <v>INSERT INTO T_Dim_J VALUES ('98', 'M', 'Heung-min', 'SON', 'Forward', 'SOUTH-KOREA', '1992');</v>
      </c>
    </row>
    <row r="100" spans="1:9" x14ac:dyDescent="0.35">
      <c r="A100">
        <v>99</v>
      </c>
      <c r="B100" t="s">
        <v>1080</v>
      </c>
      <c r="C100" t="s">
        <v>186</v>
      </c>
      <c r="D100" t="s">
        <v>1252</v>
      </c>
      <c r="E100" t="s">
        <v>923</v>
      </c>
      <c r="F100" t="s">
        <v>1360</v>
      </c>
      <c r="G100">
        <v>1993</v>
      </c>
      <c r="I100" t="str">
        <f t="shared" si="1"/>
        <v>INSERT INTO T_Dim_J VALUES ('99', 'M', 'David', 'ALABA', 'Defender', 'AUSTRIA', '1993');</v>
      </c>
    </row>
    <row r="101" spans="1:9" x14ac:dyDescent="0.35">
      <c r="A101">
        <v>100</v>
      </c>
      <c r="B101" t="s">
        <v>1080</v>
      </c>
      <c r="C101" t="s">
        <v>178</v>
      </c>
      <c r="D101" t="s">
        <v>1259</v>
      </c>
      <c r="E101" t="s">
        <v>926</v>
      </c>
      <c r="F101" t="s">
        <v>531</v>
      </c>
      <c r="G101">
        <v>1993</v>
      </c>
      <c r="I101" t="str">
        <f t="shared" si="1"/>
        <v>INSERT INTO T_Dim_J VALUES ('100', 'M', 'Fabio', 'FABINHO', 'Midfielder', 'BRAZIL', '1993');</v>
      </c>
    </row>
    <row r="102" spans="1:9" x14ac:dyDescent="0.35">
      <c r="A102">
        <v>101</v>
      </c>
      <c r="B102" t="s">
        <v>1080</v>
      </c>
      <c r="C102" t="s">
        <v>74</v>
      </c>
      <c r="D102" t="s">
        <v>1238</v>
      </c>
      <c r="E102" t="s">
        <v>914</v>
      </c>
      <c r="F102" t="s">
        <v>528</v>
      </c>
      <c r="G102">
        <v>1993</v>
      </c>
      <c r="I102" t="str">
        <f t="shared" si="1"/>
        <v>INSERT INTO T_Dim_J VALUES ('101', 'M', 'Harry', 'KANE', 'Forward', 'ENGLAND', '1993');</v>
      </c>
    </row>
    <row r="103" spans="1:9" x14ac:dyDescent="0.35">
      <c r="A103">
        <v>102</v>
      </c>
      <c r="B103" t="s">
        <v>1080</v>
      </c>
      <c r="C103" t="s">
        <v>90</v>
      </c>
      <c r="D103" t="s">
        <v>1254</v>
      </c>
      <c r="E103" t="s">
        <v>914</v>
      </c>
      <c r="F103" t="s">
        <v>530</v>
      </c>
      <c r="G103">
        <v>1993</v>
      </c>
      <c r="I103" t="str">
        <f t="shared" si="1"/>
        <v>INSERT INTO T_Dim_J VALUES ('102', 'M', 'Romelu', 'LUKAKU', 'Forward', 'BELGIUM', '1993');</v>
      </c>
    </row>
    <row r="104" spans="1:9" x14ac:dyDescent="0.35">
      <c r="A104">
        <v>103</v>
      </c>
      <c r="B104" t="s">
        <v>1080</v>
      </c>
      <c r="C104" t="s">
        <v>323</v>
      </c>
      <c r="D104" t="s">
        <v>512</v>
      </c>
      <c r="E104" t="s">
        <v>487</v>
      </c>
      <c r="F104" t="s">
        <v>529</v>
      </c>
      <c r="G104">
        <v>1993</v>
      </c>
      <c r="I104" t="str">
        <f t="shared" si="1"/>
        <v>INSERT INTO T_Dim_J VALUES ('103', 'M', 'Emiliano', 'MARTÍNEZ', 'Goalkeeper', 'ARGENTINA', '1993');</v>
      </c>
    </row>
    <row r="105" spans="1:9" x14ac:dyDescent="0.35">
      <c r="A105">
        <v>104</v>
      </c>
      <c r="B105" t="s">
        <v>1080</v>
      </c>
      <c r="C105" t="s">
        <v>308</v>
      </c>
      <c r="D105" t="s">
        <v>524</v>
      </c>
      <c r="E105" t="s">
        <v>487</v>
      </c>
      <c r="F105" t="s">
        <v>539</v>
      </c>
      <c r="G105">
        <v>1993</v>
      </c>
      <c r="I105" t="str">
        <f t="shared" si="1"/>
        <v>INSERT INTO T_Dim_J VALUES ('104', 'M', 'Jan', 'OBLAK', 'Goalkeeper', 'SLOVENIA', '1993');</v>
      </c>
    </row>
    <row r="106" spans="1:9" x14ac:dyDescent="0.35">
      <c r="A106">
        <v>105</v>
      </c>
      <c r="B106" t="s">
        <v>1080</v>
      </c>
      <c r="C106" t="s">
        <v>52</v>
      </c>
      <c r="D106" t="s">
        <v>1298</v>
      </c>
      <c r="E106" t="s">
        <v>926</v>
      </c>
      <c r="F106" t="s">
        <v>535</v>
      </c>
      <c r="G106">
        <v>1993</v>
      </c>
      <c r="I106" t="str">
        <f t="shared" si="1"/>
        <v>INSERT INTO T_Dim_J VALUES ('105', 'M', 'Paul', 'POGBA', 'Midfielder', 'FRANCE', '1993');</v>
      </c>
    </row>
    <row r="107" spans="1:9" x14ac:dyDescent="0.35">
      <c r="A107">
        <v>106</v>
      </c>
      <c r="B107" t="s">
        <v>1080</v>
      </c>
      <c r="C107" t="s">
        <v>304</v>
      </c>
      <c r="D107" t="s">
        <v>508</v>
      </c>
      <c r="E107" t="s">
        <v>487</v>
      </c>
      <c r="F107" t="s">
        <v>527</v>
      </c>
      <c r="G107">
        <v>1993</v>
      </c>
      <c r="I107" t="str">
        <f t="shared" si="1"/>
        <v>INSERT INTO T_Dim_J VALUES ('106', 'M', 'Marc-André', 'TER STEGEN', 'Goalkeeper', 'GERMANY', '1993');</v>
      </c>
    </row>
    <row r="108" spans="1:9" x14ac:dyDescent="0.35">
      <c r="A108">
        <v>107</v>
      </c>
      <c r="B108" t="s">
        <v>1080</v>
      </c>
      <c r="C108" t="s">
        <v>138</v>
      </c>
      <c r="D108" t="s">
        <v>1299</v>
      </c>
      <c r="E108" t="s">
        <v>923</v>
      </c>
      <c r="F108" t="s">
        <v>535</v>
      </c>
      <c r="G108">
        <v>1993</v>
      </c>
      <c r="I108" t="str">
        <f t="shared" si="1"/>
        <v>INSERT INTO T_Dim_J VALUES ('107', 'M', 'Raphaël', 'VARANE', 'Defender', 'FRANCE', '1993');</v>
      </c>
    </row>
    <row r="109" spans="1:9" x14ac:dyDescent="0.35">
      <c r="A109">
        <v>108</v>
      </c>
      <c r="B109" t="s">
        <v>1080</v>
      </c>
      <c r="C109" t="s">
        <v>176</v>
      </c>
      <c r="D109" t="s">
        <v>1317</v>
      </c>
      <c r="E109" t="s">
        <v>926</v>
      </c>
      <c r="F109" t="s">
        <v>536</v>
      </c>
      <c r="G109">
        <v>1993</v>
      </c>
      <c r="I109" t="str">
        <f t="shared" si="1"/>
        <v>INSERT INTO T_Dim_J VALUES ('108', 'M', 'Marco', 'VERRATTI', 'Midfielder', 'ITALY', '1993');</v>
      </c>
    </row>
    <row r="110" spans="1:9" x14ac:dyDescent="0.35">
      <c r="A110">
        <v>109</v>
      </c>
      <c r="B110" t="s">
        <v>1080</v>
      </c>
      <c r="C110" t="s">
        <v>65</v>
      </c>
      <c r="D110" t="s">
        <v>1337</v>
      </c>
      <c r="E110" t="s">
        <v>926</v>
      </c>
      <c r="F110" t="s">
        <v>1086</v>
      </c>
      <c r="G110">
        <v>1994</v>
      </c>
      <c r="I110" t="str">
        <f t="shared" si="1"/>
        <v>INSERT INTO T_Dim_J VALUES ('109', 'M', 'Silva', 'BERNARDO', 'Midfielder', 'PORTUGAL', '1994');</v>
      </c>
    </row>
    <row r="111" spans="1:9" x14ac:dyDescent="0.35">
      <c r="A111">
        <v>110</v>
      </c>
      <c r="B111" t="s">
        <v>1080</v>
      </c>
      <c r="C111" t="s">
        <v>102</v>
      </c>
      <c r="D111" t="s">
        <v>1331</v>
      </c>
      <c r="E111" t="s">
        <v>914</v>
      </c>
      <c r="F111" t="s">
        <v>1105</v>
      </c>
      <c r="G111">
        <v>1994</v>
      </c>
      <c r="I111" t="str">
        <f t="shared" si="1"/>
        <v>INSERT INTO T_Dim_J VALUES ('110', 'M', 'Memphis', 'DEPAY', 'Forward', 'NETHERLANDS', '1994');</v>
      </c>
    </row>
    <row r="112" spans="1:9" x14ac:dyDescent="0.35">
      <c r="A112">
        <v>111</v>
      </c>
      <c r="B112" t="s">
        <v>1080</v>
      </c>
      <c r="C112" t="s">
        <v>106</v>
      </c>
      <c r="D112" t="s">
        <v>1247</v>
      </c>
      <c r="E112" t="s">
        <v>914</v>
      </c>
      <c r="F112" t="s">
        <v>529</v>
      </c>
      <c r="G112">
        <v>1994</v>
      </c>
      <c r="I112" t="str">
        <f t="shared" si="1"/>
        <v>INSERT INTO T_Dim_J VALUES ('111', 'M', 'Paulo', 'DYBALA', 'Forward', 'ARGENTINA', '1994');</v>
      </c>
    </row>
    <row r="113" spans="1:9" x14ac:dyDescent="0.35">
      <c r="A113">
        <v>112</v>
      </c>
      <c r="B113" t="s">
        <v>1080</v>
      </c>
      <c r="C113" t="s">
        <v>302</v>
      </c>
      <c r="D113" t="s">
        <v>515</v>
      </c>
      <c r="E113" t="s">
        <v>487</v>
      </c>
      <c r="F113" t="s">
        <v>531</v>
      </c>
      <c r="G113">
        <v>1994</v>
      </c>
      <c r="I113" t="str">
        <f t="shared" si="1"/>
        <v>INSERT INTO T_Dim_J VALUES ('112', 'M', 'Moraes', 'EDERSON', 'Goalkeeper', 'BRAZIL', '1994');</v>
      </c>
    </row>
    <row r="114" spans="1:9" x14ac:dyDescent="0.35">
      <c r="A114">
        <v>113</v>
      </c>
      <c r="B114" t="s">
        <v>1080</v>
      </c>
      <c r="C114" t="s">
        <v>140</v>
      </c>
      <c r="D114" t="s">
        <v>1284</v>
      </c>
      <c r="E114" t="s">
        <v>923</v>
      </c>
      <c r="F114" t="s">
        <v>1106</v>
      </c>
      <c r="G114">
        <v>1994</v>
      </c>
      <c r="I114" t="str">
        <f t="shared" si="1"/>
        <v>INSERT INTO T_Dim_J VALUES ('113', 'M', 'Aymeric', 'LAPORTE', 'Defender', 'SPAIN', '1994');</v>
      </c>
    </row>
    <row r="115" spans="1:9" x14ac:dyDescent="0.35">
      <c r="A115">
        <v>114</v>
      </c>
      <c r="B115" t="s">
        <v>1080</v>
      </c>
      <c r="C115" t="s">
        <v>319</v>
      </c>
      <c r="D115" t="s">
        <v>510</v>
      </c>
      <c r="E115" t="s">
        <v>487</v>
      </c>
      <c r="F115" t="s">
        <v>528</v>
      </c>
      <c r="G115">
        <v>1994</v>
      </c>
      <c r="I115" t="str">
        <f t="shared" si="1"/>
        <v>INSERT INTO T_Dim_J VALUES ('114', 'M', 'Jordan', 'PICKFORD', 'Goalkeeper', 'ENGLAND', '1994');</v>
      </c>
    </row>
    <row r="116" spans="1:9" x14ac:dyDescent="0.35">
      <c r="A116">
        <v>115</v>
      </c>
      <c r="B116" t="s">
        <v>1080</v>
      </c>
      <c r="C116" t="s">
        <v>144</v>
      </c>
      <c r="D116" t="s">
        <v>1275</v>
      </c>
      <c r="E116" t="s">
        <v>923</v>
      </c>
      <c r="F116" t="s">
        <v>1364</v>
      </c>
      <c r="G116">
        <v>1994</v>
      </c>
      <c r="I116" t="str">
        <f t="shared" si="1"/>
        <v>INSERT INTO T_Dim_J VALUES ('115', 'M', 'Andrew', 'ROBERTSON', 'Defender', 'SCOTLAND', '1994');</v>
      </c>
    </row>
    <row r="117" spans="1:9" x14ac:dyDescent="0.35">
      <c r="A117">
        <v>116</v>
      </c>
      <c r="B117" t="s">
        <v>1080</v>
      </c>
      <c r="C117" t="s">
        <v>189</v>
      </c>
      <c r="D117" t="s">
        <v>1318</v>
      </c>
      <c r="E117" t="s">
        <v>923</v>
      </c>
      <c r="F117" t="s">
        <v>536</v>
      </c>
      <c r="G117">
        <v>1994</v>
      </c>
      <c r="I117" t="str">
        <f t="shared" si="1"/>
        <v>INSERT INTO T_Dim_J VALUES ('116', 'M', 'Leonardo', 'SPINAZZOLA', 'Defender', 'ITALY', '1994');</v>
      </c>
    </row>
    <row r="118" spans="1:9" x14ac:dyDescent="0.35">
      <c r="A118">
        <v>117</v>
      </c>
      <c r="B118" t="s">
        <v>1080</v>
      </c>
      <c r="C118" t="s">
        <v>197</v>
      </c>
      <c r="D118" t="s">
        <v>1324</v>
      </c>
      <c r="E118" t="s">
        <v>926</v>
      </c>
      <c r="F118" t="s">
        <v>1371</v>
      </c>
      <c r="G118">
        <v>1994</v>
      </c>
      <c r="I118" t="str">
        <f t="shared" si="1"/>
        <v>INSERT INTO T_Dim_J VALUES ('117', 'M', 'Hakim', 'ZIYECH', 'Midfielder', 'MOROCCO', '1994');</v>
      </c>
    </row>
    <row r="119" spans="1:9" x14ac:dyDescent="0.35">
      <c r="A119">
        <v>118</v>
      </c>
      <c r="B119" t="s">
        <v>1080</v>
      </c>
      <c r="C119" t="s">
        <v>94</v>
      </c>
      <c r="D119" t="s">
        <v>1338</v>
      </c>
      <c r="E119" t="s">
        <v>926</v>
      </c>
      <c r="F119" t="s">
        <v>1086</v>
      </c>
      <c r="G119">
        <v>1995</v>
      </c>
      <c r="I119" t="str">
        <f t="shared" si="1"/>
        <v>INSERT INTO T_Dim_J VALUES ('118', 'M', 'Bruno', 'FERNANDES', 'Midfielder', 'PORTUGAL', '1995');</v>
      </c>
    </row>
    <row r="120" spans="1:9" x14ac:dyDescent="0.35">
      <c r="A120">
        <v>119</v>
      </c>
      <c r="B120" t="s">
        <v>1080</v>
      </c>
      <c r="C120" t="s">
        <v>24</v>
      </c>
      <c r="D120" t="s">
        <v>1346</v>
      </c>
      <c r="E120" t="s">
        <v>914</v>
      </c>
      <c r="F120" t="s">
        <v>1372</v>
      </c>
      <c r="G120">
        <v>1995</v>
      </c>
      <c r="I120" t="str">
        <f t="shared" si="1"/>
        <v>INSERT INTO T_Dim_J VALUES ('119', 'M', 'Luka', 'JOVIĆ', 'Forward', 'SERBIA', '1995');</v>
      </c>
    </row>
    <row r="121" spans="1:9" x14ac:dyDescent="0.35">
      <c r="A121">
        <v>120</v>
      </c>
      <c r="B121" t="s">
        <v>1080</v>
      </c>
      <c r="C121" t="s">
        <v>49</v>
      </c>
      <c r="D121" t="s">
        <v>1230</v>
      </c>
      <c r="E121" t="s">
        <v>926</v>
      </c>
      <c r="F121" t="s">
        <v>527</v>
      </c>
      <c r="G121">
        <v>1995</v>
      </c>
      <c r="I121" t="str">
        <f t="shared" si="1"/>
        <v>INSERT INTO T_Dim_J VALUES ('120', 'M', 'Joshua', 'KIMMICH', 'Midfielder', 'GERMANY', '1995');</v>
      </c>
    </row>
    <row r="122" spans="1:9" x14ac:dyDescent="0.35">
      <c r="A122">
        <v>121</v>
      </c>
      <c r="B122" t="s">
        <v>1080</v>
      </c>
      <c r="C122" t="s">
        <v>248</v>
      </c>
      <c r="D122" t="s">
        <v>518</v>
      </c>
      <c r="E122" t="s">
        <v>487</v>
      </c>
      <c r="F122" t="s">
        <v>534</v>
      </c>
      <c r="G122">
        <v>1995</v>
      </c>
      <c r="I122" t="str">
        <f t="shared" si="1"/>
        <v>INSERT INTO T_Dim_J VALUES ('121', 'M', 'Dominik', 'LIVAKOVIĆ', 'Goalkeeper', 'CROATIA', '1995');</v>
      </c>
    </row>
    <row r="123" spans="1:9" x14ac:dyDescent="0.35">
      <c r="A123">
        <v>122</v>
      </c>
      <c r="B123" t="s">
        <v>1080</v>
      </c>
      <c r="C123" t="s">
        <v>147</v>
      </c>
      <c r="D123" t="s">
        <v>1260</v>
      </c>
      <c r="E123" t="s">
        <v>923</v>
      </c>
      <c r="F123" t="s">
        <v>531</v>
      </c>
      <c r="G123">
        <v>1995</v>
      </c>
      <c r="I123" t="str">
        <f t="shared" si="1"/>
        <v>INSERT INTO T_Dim_J VALUES ('122', 'M', 'Marcos', 'MARQUINHOS', 'Defender', 'BRAZIL', '1995');</v>
      </c>
    </row>
    <row r="124" spans="1:9" x14ac:dyDescent="0.35">
      <c r="A124">
        <v>123</v>
      </c>
      <c r="B124" t="s">
        <v>1080</v>
      </c>
      <c r="C124" t="s">
        <v>136</v>
      </c>
      <c r="D124" t="s">
        <v>1300</v>
      </c>
      <c r="E124" t="s">
        <v>926</v>
      </c>
      <c r="F124" t="s">
        <v>535</v>
      </c>
      <c r="G124">
        <v>1995</v>
      </c>
      <c r="I124" t="str">
        <f t="shared" si="1"/>
        <v>INSERT INTO T_Dim_J VALUES ('123', 'M', 'Adrien', 'RABIOT', 'Midfielder', 'FRANCE', '1995');</v>
      </c>
    </row>
    <row r="125" spans="1:9" x14ac:dyDescent="0.35">
      <c r="A125">
        <v>124</v>
      </c>
      <c r="B125" t="s">
        <v>1080</v>
      </c>
      <c r="C125" t="s">
        <v>71</v>
      </c>
      <c r="D125" t="s">
        <v>1239</v>
      </c>
      <c r="E125" t="s">
        <v>914</v>
      </c>
      <c r="F125" t="s">
        <v>528</v>
      </c>
      <c r="G125">
        <v>1995</v>
      </c>
      <c r="I125" t="str">
        <f t="shared" si="1"/>
        <v>INSERT INTO T_Dim_J VALUES ('124', 'M', 'Raheem', 'STERLING', 'Forward', 'ENGLAND', '1995');</v>
      </c>
    </row>
    <row r="126" spans="1:9" x14ac:dyDescent="0.35">
      <c r="A126">
        <v>125</v>
      </c>
      <c r="B126" t="s">
        <v>1080</v>
      </c>
      <c r="C126" t="s">
        <v>129</v>
      </c>
      <c r="D126" t="s">
        <v>520</v>
      </c>
      <c r="E126" t="s">
        <v>487</v>
      </c>
      <c r="F126" t="s">
        <v>535</v>
      </c>
      <c r="G126">
        <v>1996</v>
      </c>
      <c r="I126" t="str">
        <f t="shared" si="1"/>
        <v>INSERT INTO T_Dim_J VALUES ('125', 'M', 'Mike', 'MAIGNAN', 'Goalkeeper', 'FRANCE', '1996');</v>
      </c>
    </row>
    <row r="127" spans="1:9" x14ac:dyDescent="0.35">
      <c r="A127">
        <v>126</v>
      </c>
      <c r="B127" t="s">
        <v>1080</v>
      </c>
      <c r="C127" t="s">
        <v>131</v>
      </c>
      <c r="D127" t="s">
        <v>516</v>
      </c>
      <c r="E127" t="s">
        <v>487</v>
      </c>
      <c r="F127" t="s">
        <v>532</v>
      </c>
      <c r="G127">
        <v>1996</v>
      </c>
      <c r="I127" t="str">
        <f t="shared" si="1"/>
        <v>INSERT INTO T_Dim_J VALUES ('126', 'M', 'André', 'ONANA', 'Goalkeeper', 'CAMEROON', '1996');</v>
      </c>
    </row>
    <row r="128" spans="1:9" x14ac:dyDescent="0.35">
      <c r="A128">
        <v>127</v>
      </c>
      <c r="B128" t="s">
        <v>1080</v>
      </c>
      <c r="C128" t="s">
        <v>83</v>
      </c>
      <c r="D128" t="s">
        <v>1120</v>
      </c>
      <c r="E128" t="s">
        <v>926</v>
      </c>
      <c r="F128" t="s">
        <v>1106</v>
      </c>
      <c r="G128">
        <v>1996</v>
      </c>
      <c r="I128" t="str">
        <f t="shared" si="1"/>
        <v>INSERT INTO T_Dim_J VALUES ('127', 'M', 'Hernández', 'RODRI', 'Midfielder', 'SPAIN', '1996');</v>
      </c>
    </row>
    <row r="129" spans="1:9" x14ac:dyDescent="0.35">
      <c r="A129">
        <v>128</v>
      </c>
      <c r="B129" t="s">
        <v>1080</v>
      </c>
      <c r="C129" t="s">
        <v>98</v>
      </c>
      <c r="D129" t="s">
        <v>1231</v>
      </c>
      <c r="E129" t="s">
        <v>914</v>
      </c>
      <c r="F129" t="s">
        <v>527</v>
      </c>
      <c r="G129">
        <v>1996</v>
      </c>
      <c r="I129" t="str">
        <f t="shared" si="1"/>
        <v>INSERT INTO T_Dim_J VALUES ('128', 'M', 'Leroy', 'SANÉ', 'Forward', 'GERMANY', '1996');</v>
      </c>
    </row>
    <row r="130" spans="1:9" x14ac:dyDescent="0.35">
      <c r="A130">
        <v>129</v>
      </c>
      <c r="B130" t="s">
        <v>1080</v>
      </c>
      <c r="C130" t="s">
        <v>221</v>
      </c>
      <c r="D130" t="s">
        <v>1319</v>
      </c>
      <c r="E130" t="s">
        <v>926</v>
      </c>
      <c r="F130" t="s">
        <v>536</v>
      </c>
      <c r="G130">
        <v>1997</v>
      </c>
      <c r="I130" t="str">
        <f t="shared" si="1"/>
        <v>INSERT INTO T_Dim_J VALUES ('129', 'M', 'Nicolò', 'BARELLA', 'Midfielder', 'ITALY', '1997');</v>
      </c>
    </row>
    <row r="131" spans="1:9" x14ac:dyDescent="0.35">
      <c r="A131">
        <v>130</v>
      </c>
      <c r="B131" t="s">
        <v>1080</v>
      </c>
      <c r="C131" t="s">
        <v>206</v>
      </c>
      <c r="D131" t="s">
        <v>1301</v>
      </c>
      <c r="E131" t="s">
        <v>914</v>
      </c>
      <c r="F131" t="s">
        <v>535</v>
      </c>
      <c r="G131">
        <v>1997</v>
      </c>
      <c r="I131" t="str">
        <f t="shared" ref="I131:I194" si="2">CONCATENATE("INSERT INTO T_Dim_J VALUES ('",A131,$I$1,B131,$I$1,C131,$I$1,D131,$I$1,E131,$I$1,F131,$I$1,G131,"');")</f>
        <v>INSERT INTO T_Dim_J VALUES ('130', 'M', 'Kingsley', 'COMAN', 'Forward', 'FRANCE', '1997');</v>
      </c>
    </row>
    <row r="132" spans="1:9" x14ac:dyDescent="0.35">
      <c r="A132">
        <v>131</v>
      </c>
      <c r="B132" t="s">
        <v>1080</v>
      </c>
      <c r="C132" t="s">
        <v>96</v>
      </c>
      <c r="D132" t="s">
        <v>1339</v>
      </c>
      <c r="E132" t="s">
        <v>923</v>
      </c>
      <c r="F132" t="s">
        <v>1086</v>
      </c>
      <c r="G132">
        <v>1997</v>
      </c>
      <c r="I132" t="str">
        <f t="shared" si="2"/>
        <v>INSERT INTO T_Dim_J VALUES ('131', 'M', 'Rúben', 'DIAS', 'Defender', 'PORTUGAL', '1997');</v>
      </c>
    </row>
    <row r="133" spans="1:9" x14ac:dyDescent="0.35">
      <c r="A133">
        <v>132</v>
      </c>
      <c r="B133" t="s">
        <v>1080</v>
      </c>
      <c r="C133" t="s">
        <v>202</v>
      </c>
      <c r="D133" t="s">
        <v>1340</v>
      </c>
      <c r="E133" t="s">
        <v>914</v>
      </c>
      <c r="F133" t="s">
        <v>1086</v>
      </c>
      <c r="G133">
        <v>1997</v>
      </c>
      <c r="I133" t="str">
        <f t="shared" si="2"/>
        <v>INSERT INTO T_Dim_J VALUES ('132', 'M', 'Fábio', 'FÁBIO VIEIRA', 'Forward', 'PORTUGAL', '1997');</v>
      </c>
    </row>
    <row r="134" spans="1:9" x14ac:dyDescent="0.35">
      <c r="A134">
        <v>133</v>
      </c>
      <c r="B134" t="s">
        <v>1080</v>
      </c>
      <c r="C134" t="s">
        <v>100</v>
      </c>
      <c r="D134" t="s">
        <v>1232</v>
      </c>
      <c r="E134" t="s">
        <v>914</v>
      </c>
      <c r="F134" t="s">
        <v>527</v>
      </c>
      <c r="G134">
        <v>1997</v>
      </c>
      <c r="I134" t="str">
        <f t="shared" si="2"/>
        <v>INSERT INTO T_Dim_J VALUES ('133', 'M', 'Serge', 'GNABRY', 'Forward', 'GERMANY', '1997');</v>
      </c>
    </row>
    <row r="135" spans="1:9" x14ac:dyDescent="0.35">
      <c r="A135">
        <v>134</v>
      </c>
      <c r="B135" t="s">
        <v>1080</v>
      </c>
      <c r="C135" t="s">
        <v>181</v>
      </c>
      <c r="D135" s="2" t="s">
        <v>1422</v>
      </c>
      <c r="E135" t="s">
        <v>914</v>
      </c>
      <c r="F135" t="s">
        <v>531</v>
      </c>
      <c r="G135">
        <v>1997</v>
      </c>
      <c r="I135" t="str">
        <f t="shared" si="2"/>
        <v>INSERT INTO T_Dim_J VALUES ('134', 'M', 'Gabriel', 'JESÚS', 'Forward', 'BRAZIL', '1997');</v>
      </c>
    </row>
    <row r="136" spans="1:9" x14ac:dyDescent="0.35">
      <c r="A136">
        <v>135</v>
      </c>
      <c r="B136" t="s">
        <v>1080</v>
      </c>
      <c r="C136" t="s">
        <v>118</v>
      </c>
      <c r="D136" t="s">
        <v>1240</v>
      </c>
      <c r="E136" t="s">
        <v>914</v>
      </c>
      <c r="F136" t="s">
        <v>528</v>
      </c>
      <c r="G136">
        <v>1997</v>
      </c>
      <c r="I136" t="str">
        <f t="shared" si="2"/>
        <v>INSERT INTO T_Dim_J VALUES ('135', 'M', 'Marcus', 'RASHFORD', 'Forward', 'ENGLAND', '1997');</v>
      </c>
    </row>
    <row r="137" spans="1:9" x14ac:dyDescent="0.35">
      <c r="A137">
        <v>136</v>
      </c>
      <c r="B137" t="s">
        <v>1080</v>
      </c>
      <c r="C137" t="s">
        <v>114</v>
      </c>
      <c r="D137" t="s">
        <v>1320</v>
      </c>
      <c r="E137" t="s">
        <v>914</v>
      </c>
      <c r="F137" t="s">
        <v>536</v>
      </c>
      <c r="G137">
        <v>1998</v>
      </c>
      <c r="I137" t="str">
        <f t="shared" si="2"/>
        <v>INSERT INTO T_Dim_J VALUES ('136', 'M', 'Federico', 'CHIESA', 'Forward', 'ITALY', '1998');</v>
      </c>
    </row>
    <row r="138" spans="1:9" x14ac:dyDescent="0.35">
      <c r="A138">
        <v>137</v>
      </c>
      <c r="B138" t="s">
        <v>1080</v>
      </c>
      <c r="C138" t="s">
        <v>107</v>
      </c>
      <c r="D138" t="s">
        <v>1248</v>
      </c>
      <c r="E138" t="s">
        <v>914</v>
      </c>
      <c r="F138" t="s">
        <v>529</v>
      </c>
      <c r="G138">
        <v>1998</v>
      </c>
      <c r="I138" t="str">
        <f t="shared" si="2"/>
        <v>INSERT INTO T_Dim_J VALUES ('137', 'M', 'Martínez', 'LAUTARO', 'Forward', 'ARGENTINA', '1998');</v>
      </c>
    </row>
    <row r="139" spans="1:9" x14ac:dyDescent="0.35">
      <c r="A139">
        <v>138</v>
      </c>
      <c r="B139" t="s">
        <v>1080</v>
      </c>
      <c r="C139" t="s">
        <v>108</v>
      </c>
      <c r="D139" t="s">
        <v>512</v>
      </c>
      <c r="E139" t="s">
        <v>914</v>
      </c>
      <c r="F139" t="s">
        <v>529</v>
      </c>
      <c r="G139">
        <v>1998</v>
      </c>
      <c r="I139" t="str">
        <f t="shared" si="2"/>
        <v>INSERT INTO T_Dim_J VALUES ('138', 'M', 'Lautaro', 'MARTÍNEZ', 'Forward', 'ARGENTINA', '1998');</v>
      </c>
    </row>
    <row r="140" spans="1:9" x14ac:dyDescent="0.35">
      <c r="A140">
        <v>139</v>
      </c>
      <c r="B140" t="s">
        <v>1080</v>
      </c>
      <c r="C140" t="s">
        <v>219</v>
      </c>
      <c r="D140" t="s">
        <v>1262</v>
      </c>
      <c r="E140" t="s">
        <v>914</v>
      </c>
      <c r="F140" t="s">
        <v>531</v>
      </c>
      <c r="G140">
        <v>1998</v>
      </c>
      <c r="I140" t="str">
        <f t="shared" si="2"/>
        <v>INSERT INTO T_Dim_J VALUES ('139', 'M', 'Richarlison', 'RICHARLISON', 'Forward', 'BRAZIL', '1998');</v>
      </c>
    </row>
    <row r="141" spans="1:9" x14ac:dyDescent="0.35">
      <c r="A141">
        <v>140</v>
      </c>
      <c r="B141" t="s">
        <v>1080</v>
      </c>
      <c r="C141" t="s">
        <v>214</v>
      </c>
      <c r="D141" t="s">
        <v>1302</v>
      </c>
      <c r="E141" t="s">
        <v>923</v>
      </c>
      <c r="F141" t="s">
        <v>535</v>
      </c>
      <c r="G141">
        <v>1998</v>
      </c>
      <c r="I141" t="str">
        <f t="shared" si="2"/>
        <v>INSERT INTO T_Dim_J VALUES ('140', 'M', 'Dayot', 'UPAMECANO', 'Defender', 'FRANCE', '1998');</v>
      </c>
    </row>
    <row r="142" spans="1:9" x14ac:dyDescent="0.35">
      <c r="A142">
        <v>141</v>
      </c>
      <c r="B142" t="s">
        <v>1080</v>
      </c>
      <c r="C142" t="s">
        <v>114</v>
      </c>
      <c r="D142" t="s">
        <v>1352</v>
      </c>
      <c r="E142" t="s">
        <v>926</v>
      </c>
      <c r="F142" t="s">
        <v>1374</v>
      </c>
      <c r="G142">
        <v>1998</v>
      </c>
      <c r="I142" t="str">
        <f t="shared" si="2"/>
        <v>INSERT INTO T_Dim_J VALUES ('141', 'M', 'Federico', 'VALVERDE', 'Midfielder', 'URUGUAY', '1998');</v>
      </c>
    </row>
    <row r="143" spans="1:9" x14ac:dyDescent="0.35">
      <c r="A143">
        <v>142</v>
      </c>
      <c r="B143" t="s">
        <v>1080</v>
      </c>
      <c r="C143" t="s">
        <v>142</v>
      </c>
      <c r="D143" t="s">
        <v>1241</v>
      </c>
      <c r="E143" t="s">
        <v>923</v>
      </c>
      <c r="F143" t="s">
        <v>528</v>
      </c>
      <c r="G143">
        <v>1999</v>
      </c>
      <c r="I143" t="str">
        <f t="shared" si="2"/>
        <v>INSERT INTO T_Dim_J VALUES ('142', 'M', 'Trent', 'ALEXANDER-ARNOLD', 'Defender', 'ENGLAND', '1999');</v>
      </c>
    </row>
    <row r="144" spans="1:9" x14ac:dyDescent="0.35">
      <c r="A144">
        <v>143</v>
      </c>
      <c r="B144" t="s">
        <v>1080</v>
      </c>
      <c r="C144" t="s">
        <v>306</v>
      </c>
      <c r="D144" t="s">
        <v>521</v>
      </c>
      <c r="E144" t="s">
        <v>487</v>
      </c>
      <c r="F144" t="s">
        <v>536</v>
      </c>
      <c r="G144">
        <v>1999</v>
      </c>
      <c r="I144" t="str">
        <f t="shared" si="2"/>
        <v>INSERT INTO T_Dim_J VALUES ('143', 'M', 'Gianluigi', 'DONNARUMMA', 'Goalkeeper', 'ITALY', '1999');</v>
      </c>
    </row>
    <row r="145" spans="1:9" x14ac:dyDescent="0.35">
      <c r="A145">
        <v>144</v>
      </c>
      <c r="B145" t="s">
        <v>1080</v>
      </c>
      <c r="C145" t="s">
        <v>85</v>
      </c>
      <c r="D145" t="s">
        <v>1325</v>
      </c>
      <c r="E145" t="s">
        <v>923</v>
      </c>
      <c r="F145" t="s">
        <v>1371</v>
      </c>
      <c r="G145">
        <v>1999</v>
      </c>
      <c r="I145" t="str">
        <f t="shared" si="2"/>
        <v>INSERT INTO T_Dim_J VALUES ('144', 'M', 'Achraf', 'HAKIMI', 'Defender', 'MOROCCO', '1999');</v>
      </c>
    </row>
    <row r="146" spans="1:9" x14ac:dyDescent="0.35">
      <c r="A146">
        <v>145</v>
      </c>
      <c r="B146" t="s">
        <v>1080</v>
      </c>
      <c r="C146" t="s">
        <v>218</v>
      </c>
      <c r="D146" t="s">
        <v>1348</v>
      </c>
      <c r="E146" t="s">
        <v>914</v>
      </c>
      <c r="F146" t="s">
        <v>1373</v>
      </c>
      <c r="G146">
        <v>1999</v>
      </c>
      <c r="I146" t="str">
        <f t="shared" si="2"/>
        <v>INSERT INTO T_Dim_J VALUES ('145', 'M', 'Dejan', 'KULUSEVSKI', 'Forward', 'SWEDEN', '1999');</v>
      </c>
    </row>
    <row r="147" spans="1:9" x14ac:dyDescent="0.35">
      <c r="A147">
        <v>146</v>
      </c>
      <c r="B147" t="s">
        <v>1080</v>
      </c>
      <c r="C147" t="s">
        <v>16</v>
      </c>
      <c r="D147" t="s">
        <v>1303</v>
      </c>
      <c r="E147" t="s">
        <v>914</v>
      </c>
      <c r="F147" t="s">
        <v>535</v>
      </c>
      <c r="G147">
        <v>1999</v>
      </c>
      <c r="I147" t="str">
        <f t="shared" si="2"/>
        <v>INSERT INTO T_Dim_J VALUES ('146', 'M', 'Kylian', 'MBAPPÉ', 'Forward', 'FRANCE', '1999');</v>
      </c>
    </row>
    <row r="148" spans="1:9" x14ac:dyDescent="0.35">
      <c r="A148">
        <v>147</v>
      </c>
      <c r="B148" t="s">
        <v>1080</v>
      </c>
      <c r="C148" t="s">
        <v>227</v>
      </c>
      <c r="D148" t="s">
        <v>1285</v>
      </c>
      <c r="E148" t="s">
        <v>926</v>
      </c>
      <c r="F148" t="s">
        <v>1106</v>
      </c>
      <c r="G148">
        <v>1999</v>
      </c>
      <c r="I148" t="str">
        <f t="shared" si="2"/>
        <v>INSERT INTO T_Dim_J VALUES ('147', 'M', 'Dani', 'OLMO', 'Midfielder', 'SPAIN', '1999');</v>
      </c>
    </row>
    <row r="149" spans="1:9" x14ac:dyDescent="0.35">
      <c r="A149">
        <v>148</v>
      </c>
      <c r="B149" t="s">
        <v>1080</v>
      </c>
      <c r="C149" t="s">
        <v>123</v>
      </c>
      <c r="D149" t="s">
        <v>1326</v>
      </c>
      <c r="E149" t="s">
        <v>914</v>
      </c>
      <c r="F149" t="s">
        <v>1129</v>
      </c>
      <c r="G149">
        <v>1999</v>
      </c>
      <c r="I149" t="str">
        <f t="shared" si="2"/>
        <v>INSERT INTO T_Dim_J VALUES ('148', 'M', 'Victor', 'OSIMHEN', 'Forward', 'NIGERIA', '1999');</v>
      </c>
    </row>
    <row r="150" spans="1:9" x14ac:dyDescent="0.35">
      <c r="A150">
        <v>149</v>
      </c>
      <c r="B150" t="s">
        <v>1080</v>
      </c>
      <c r="C150" t="s">
        <v>311</v>
      </c>
      <c r="D150" t="s">
        <v>511</v>
      </c>
      <c r="E150" t="s">
        <v>487</v>
      </c>
      <c r="F150" t="s">
        <v>528</v>
      </c>
      <c r="G150">
        <v>1999</v>
      </c>
      <c r="I150" t="str">
        <f t="shared" si="2"/>
        <v>INSERT INTO T_Dim_J VALUES ('149', 'M', 'Aaron', 'RAMSDALE', 'Goalkeeper', 'ENGLAND', '1999');</v>
      </c>
    </row>
    <row r="151" spans="1:9" x14ac:dyDescent="0.35">
      <c r="A151">
        <v>150</v>
      </c>
      <c r="B151" t="s">
        <v>1080</v>
      </c>
      <c r="C151" t="s">
        <v>204</v>
      </c>
      <c r="D151" t="s">
        <v>1304</v>
      </c>
      <c r="E151" t="s">
        <v>926</v>
      </c>
      <c r="F151" t="s">
        <v>535</v>
      </c>
      <c r="G151">
        <v>2000</v>
      </c>
      <c r="I151" t="str">
        <f t="shared" si="2"/>
        <v>INSERT INTO T_Dim_J VALUES ('150', 'M', 'Ousmane', 'DEMBÉLÉ', 'Midfielder', 'FRANCE', '2000');</v>
      </c>
    </row>
    <row r="152" spans="1:9" x14ac:dyDescent="0.35">
      <c r="A152">
        <v>151</v>
      </c>
      <c r="B152" t="s">
        <v>1080</v>
      </c>
      <c r="C152" t="s">
        <v>81</v>
      </c>
      <c r="D152" t="s">
        <v>1242</v>
      </c>
      <c r="E152" t="s">
        <v>926</v>
      </c>
      <c r="F152" t="s">
        <v>528</v>
      </c>
      <c r="G152">
        <v>2000</v>
      </c>
      <c r="I152" t="str">
        <f t="shared" si="2"/>
        <v>INSERT INTO T_Dim_J VALUES ('151', 'M', 'Phil', 'FODEN', 'Midfielder', 'ENGLAND', '2000');</v>
      </c>
    </row>
    <row r="153" spans="1:9" x14ac:dyDescent="0.35">
      <c r="A153">
        <v>152</v>
      </c>
      <c r="B153" t="s">
        <v>1080</v>
      </c>
      <c r="C153" t="s">
        <v>38</v>
      </c>
      <c r="D153" t="s">
        <v>1327</v>
      </c>
      <c r="E153" t="s">
        <v>914</v>
      </c>
      <c r="F153" t="s">
        <v>1126</v>
      </c>
      <c r="G153">
        <v>2000</v>
      </c>
      <c r="I153" t="str">
        <f t="shared" si="2"/>
        <v>INSERT INTO T_Dim_J VALUES ('152', 'M', 'Erling', 'HAALAND', 'Forward', 'NORWAY', '2000');</v>
      </c>
    </row>
    <row r="154" spans="1:9" x14ac:dyDescent="0.35">
      <c r="A154">
        <v>153</v>
      </c>
      <c r="B154" t="s">
        <v>1080</v>
      </c>
      <c r="C154" t="s">
        <v>216</v>
      </c>
      <c r="D154" t="s">
        <v>1305</v>
      </c>
      <c r="E154" t="s">
        <v>923</v>
      </c>
      <c r="F154" t="s">
        <v>535</v>
      </c>
      <c r="G154">
        <v>2000</v>
      </c>
      <c r="I154" t="str">
        <f t="shared" si="2"/>
        <v>INSERT INTO T_Dim_J VALUES ('153', 'M', 'Ibrahima', 'KONATÉ', 'Defender', 'FRANCE', '2000');</v>
      </c>
    </row>
    <row r="155" spans="1:9" x14ac:dyDescent="0.35">
      <c r="A155">
        <v>154</v>
      </c>
      <c r="B155" t="s">
        <v>1080</v>
      </c>
      <c r="C155" t="s">
        <v>283</v>
      </c>
      <c r="D155" t="s">
        <v>1341</v>
      </c>
      <c r="E155" t="s">
        <v>914</v>
      </c>
      <c r="F155" t="s">
        <v>1086</v>
      </c>
      <c r="G155">
        <v>2000</v>
      </c>
      <c r="I155" t="str">
        <f t="shared" si="2"/>
        <v>INSERT INTO T_Dim_J VALUES ('154', 'M', 'Rafael', 'LEAO', 'Forward', 'PORTUGAL', '2000');</v>
      </c>
    </row>
    <row r="156" spans="1:9" x14ac:dyDescent="0.35">
      <c r="A156">
        <v>155</v>
      </c>
      <c r="B156" t="s">
        <v>1080</v>
      </c>
      <c r="C156" t="s">
        <v>120</v>
      </c>
      <c r="D156" t="s">
        <v>1243</v>
      </c>
      <c r="E156" t="s">
        <v>926</v>
      </c>
      <c r="F156" t="s">
        <v>528</v>
      </c>
      <c r="G156">
        <v>2000</v>
      </c>
      <c r="I156" t="str">
        <f t="shared" si="2"/>
        <v>INSERT INTO T_Dim_J VALUES ('155', 'M', 'Mason', 'MOUNT', 'Midfielder', 'ENGLAND', '2000');</v>
      </c>
    </row>
    <row r="157" spans="1:9" x14ac:dyDescent="0.35">
      <c r="A157">
        <v>156</v>
      </c>
      <c r="B157" t="s">
        <v>1080</v>
      </c>
      <c r="C157" t="s">
        <v>274</v>
      </c>
      <c r="D157" t="s">
        <v>1268</v>
      </c>
      <c r="E157" t="s">
        <v>923</v>
      </c>
      <c r="F157" t="s">
        <v>1125</v>
      </c>
      <c r="G157">
        <v>2001</v>
      </c>
      <c r="I157" t="str">
        <f t="shared" si="2"/>
        <v>INSERT INTO T_Dim_J VALUES ('156', 'M', 'Alphonso', 'DAVIES', 'Defender', 'CANADA', '2001');</v>
      </c>
    </row>
    <row r="158" spans="1:9" x14ac:dyDescent="0.35">
      <c r="A158">
        <v>157</v>
      </c>
      <c r="B158" t="s">
        <v>1080</v>
      </c>
      <c r="C158" t="s">
        <v>280</v>
      </c>
      <c r="D158" t="s">
        <v>1309</v>
      </c>
      <c r="E158" t="s">
        <v>914</v>
      </c>
      <c r="F158" t="s">
        <v>1368</v>
      </c>
      <c r="G158">
        <v>2001</v>
      </c>
      <c r="I158" t="str">
        <f t="shared" si="2"/>
        <v>INSERT INTO T_Dim_J VALUES ('157', 'M', 'Khvicha', 'KVARATSKHELIA', 'Forward', 'GEORGIA', '2001');</v>
      </c>
    </row>
    <row r="159" spans="1:9" x14ac:dyDescent="0.35">
      <c r="A159">
        <v>158</v>
      </c>
      <c r="B159" t="s">
        <v>1080</v>
      </c>
      <c r="C159" t="s">
        <v>245</v>
      </c>
      <c r="D159" t="s">
        <v>1349</v>
      </c>
      <c r="E159" t="s">
        <v>914</v>
      </c>
      <c r="F159" t="s">
        <v>541</v>
      </c>
      <c r="G159">
        <v>2001</v>
      </c>
      <c r="I159" t="str">
        <f t="shared" si="2"/>
        <v>INSERT INTO T_Dim_J VALUES ('158', 'M', 'Mykhailo', 'MUDRYK', 'Forward', 'UKRAINE', '2001');</v>
      </c>
    </row>
    <row r="160" spans="1:9" x14ac:dyDescent="0.35">
      <c r="A160">
        <v>159</v>
      </c>
      <c r="B160" t="s">
        <v>1080</v>
      </c>
      <c r="C160" t="s">
        <v>235</v>
      </c>
      <c r="D160" t="s">
        <v>1342</v>
      </c>
      <c r="E160" t="s">
        <v>923</v>
      </c>
      <c r="F160" t="s">
        <v>1086</v>
      </c>
      <c r="G160">
        <v>2001</v>
      </c>
      <c r="I160" t="str">
        <f t="shared" si="2"/>
        <v>INSERT INTO T_Dim_J VALUES ('159', 'M', 'Nuno', 'NUNO', 'Defender', 'PORTUGAL', '2001');</v>
      </c>
    </row>
    <row r="161" spans="1:9" x14ac:dyDescent="0.35">
      <c r="A161">
        <v>160</v>
      </c>
      <c r="B161" t="s">
        <v>1080</v>
      </c>
      <c r="C161" t="s">
        <v>181</v>
      </c>
      <c r="D161" t="s">
        <v>1263</v>
      </c>
      <c r="E161" t="s">
        <v>926</v>
      </c>
      <c r="F161" t="s">
        <v>531</v>
      </c>
      <c r="G161">
        <v>2001</v>
      </c>
      <c r="I161" t="str">
        <f t="shared" si="2"/>
        <v>INSERT INTO T_Dim_J VALUES ('160', 'M', 'Gabriel', 'PAIXÃO', 'Midfielder', 'BRAZIL', '2001');</v>
      </c>
    </row>
    <row r="162" spans="1:9" x14ac:dyDescent="0.35">
      <c r="A162">
        <v>161</v>
      </c>
      <c r="B162" t="s">
        <v>1080</v>
      </c>
      <c r="C162" t="s">
        <v>234</v>
      </c>
      <c r="D162" t="s">
        <v>1264</v>
      </c>
      <c r="E162" t="s">
        <v>914</v>
      </c>
      <c r="F162" t="s">
        <v>531</v>
      </c>
      <c r="G162">
        <v>2001</v>
      </c>
      <c r="I162" t="str">
        <f t="shared" si="2"/>
        <v>INSERT INTO T_Dim_J VALUES ('161', 'M', 'Rodrygo', 'RODRYGO', 'Forward', 'BRAZIL', '2001');</v>
      </c>
    </row>
    <row r="163" spans="1:9" x14ac:dyDescent="0.35">
      <c r="A163">
        <v>162</v>
      </c>
      <c r="B163" t="s">
        <v>1080</v>
      </c>
      <c r="C163" t="s">
        <v>248</v>
      </c>
      <c r="D163" t="s">
        <v>1310</v>
      </c>
      <c r="E163" t="s">
        <v>926</v>
      </c>
      <c r="F163" t="s">
        <v>1369</v>
      </c>
      <c r="G163">
        <v>2001</v>
      </c>
      <c r="I163" t="str">
        <f t="shared" si="2"/>
        <v>INSERT INTO T_Dim_J VALUES ('162', 'M', 'Dominik', 'SZOBOSZLAI', 'Midfielder', 'HUNGARY', '2001');</v>
      </c>
    </row>
    <row r="164" spans="1:9" x14ac:dyDescent="0.35">
      <c r="A164">
        <v>163</v>
      </c>
      <c r="B164" t="s">
        <v>1080</v>
      </c>
      <c r="C164" t="s">
        <v>116</v>
      </c>
      <c r="D164" t="s">
        <v>1265</v>
      </c>
      <c r="E164" t="s">
        <v>914</v>
      </c>
      <c r="F164" t="s">
        <v>531</v>
      </c>
      <c r="G164">
        <v>2001</v>
      </c>
      <c r="I164" t="str">
        <f t="shared" si="2"/>
        <v>INSERT INTO T_Dim_J VALUES ('163', 'M', 'Vinícius', 'VINI JR.', 'Forward', 'BRAZIL', '2001');</v>
      </c>
    </row>
    <row r="165" spans="1:9" x14ac:dyDescent="0.35">
      <c r="A165">
        <v>164</v>
      </c>
      <c r="B165" t="s">
        <v>1080</v>
      </c>
      <c r="C165" t="s">
        <v>298</v>
      </c>
      <c r="D165" t="s">
        <v>1343</v>
      </c>
      <c r="E165" t="s">
        <v>926</v>
      </c>
      <c r="F165" t="s">
        <v>1086</v>
      </c>
      <c r="G165">
        <v>2001</v>
      </c>
      <c r="I165" t="str">
        <f t="shared" si="2"/>
        <v>INSERT INTO T_Dim_J VALUES ('164', 'M', 'Vítor', 'VITINHA', 'Midfielder', 'PORTUGAL', '2001');</v>
      </c>
    </row>
    <row r="166" spans="1:9" x14ac:dyDescent="0.35">
      <c r="A166">
        <v>165</v>
      </c>
      <c r="B166" t="s">
        <v>1080</v>
      </c>
      <c r="C166" t="s">
        <v>64</v>
      </c>
      <c r="D166" t="s">
        <v>1249</v>
      </c>
      <c r="E166" t="s">
        <v>926</v>
      </c>
      <c r="F166" t="s">
        <v>529</v>
      </c>
      <c r="G166">
        <v>2002</v>
      </c>
      <c r="I166" t="str">
        <f t="shared" si="2"/>
        <v>INSERT INTO T_Dim_J VALUES ('165', 'M', 'Thiago', 'ALMADA', 'Midfielder', 'ARGENTINA', '2002');</v>
      </c>
    </row>
    <row r="167" spans="1:9" x14ac:dyDescent="0.35">
      <c r="A167">
        <v>166</v>
      </c>
      <c r="B167" t="s">
        <v>1080</v>
      </c>
      <c r="C167" t="s">
        <v>240</v>
      </c>
      <c r="D167" t="s">
        <v>1294</v>
      </c>
      <c r="E167" t="s">
        <v>914</v>
      </c>
      <c r="F167" t="s">
        <v>1367</v>
      </c>
      <c r="G167">
        <v>2002</v>
      </c>
      <c r="I167" t="str">
        <f t="shared" si="2"/>
        <v>INSERT INTO T_Dim_J VALUES ('166', 'M', 'Folarin', 'BALOGUN', 'Forward', 'UNITED-STATES', '2002');</v>
      </c>
    </row>
    <row r="168" spans="1:9" x14ac:dyDescent="0.35">
      <c r="A168">
        <v>167</v>
      </c>
      <c r="B168" t="s">
        <v>1080</v>
      </c>
      <c r="C168" t="s">
        <v>266</v>
      </c>
      <c r="D168" t="s">
        <v>1270</v>
      </c>
      <c r="E168" t="s">
        <v>926</v>
      </c>
      <c r="F168" t="s">
        <v>1363</v>
      </c>
      <c r="G168">
        <v>2002</v>
      </c>
      <c r="I168" t="str">
        <f t="shared" si="2"/>
        <v>INSERT INTO T_Dim_J VALUES ('167', 'M', 'Moisés', 'CAICEDO', 'Midfielder', 'IVORY-COAST', '2002');</v>
      </c>
    </row>
    <row r="169" spans="1:9" x14ac:dyDescent="0.35">
      <c r="A169">
        <v>168</v>
      </c>
      <c r="B169" t="s">
        <v>1080</v>
      </c>
      <c r="C169" t="s">
        <v>272</v>
      </c>
      <c r="D169" t="s">
        <v>1271</v>
      </c>
      <c r="E169" t="s">
        <v>923</v>
      </c>
      <c r="F169" t="s">
        <v>1363</v>
      </c>
      <c r="G169">
        <v>2002</v>
      </c>
      <c r="I169" t="str">
        <f t="shared" si="2"/>
        <v>INSERT INTO T_Dim_J VALUES ('168', 'M', 'Odilon', 'DIOMANDÉ', 'Defender', 'IVORY-COAST', '2002');</v>
      </c>
    </row>
    <row r="170" spans="1:9" x14ac:dyDescent="0.35">
      <c r="A170">
        <v>169</v>
      </c>
      <c r="B170" t="s">
        <v>1080</v>
      </c>
      <c r="C170" t="s">
        <v>268</v>
      </c>
      <c r="D170" t="s">
        <v>1286</v>
      </c>
      <c r="E170" t="s">
        <v>926</v>
      </c>
      <c r="F170" t="s">
        <v>1106</v>
      </c>
      <c r="G170">
        <v>2002</v>
      </c>
      <c r="I170" t="str">
        <f t="shared" si="2"/>
        <v>INSERT INTO T_Dim_J VALUES ('169', 'M', 'Bryan', 'GIL', 'Midfielder', 'SPAIN', '2002');</v>
      </c>
    </row>
    <row r="171" spans="1:9" x14ac:dyDescent="0.35">
      <c r="A171">
        <v>170</v>
      </c>
      <c r="B171" t="s">
        <v>1080</v>
      </c>
      <c r="C171" t="s">
        <v>259</v>
      </c>
      <c r="D171" t="s">
        <v>1273</v>
      </c>
      <c r="E171" t="s">
        <v>923</v>
      </c>
      <c r="F171" t="s">
        <v>534</v>
      </c>
      <c r="G171">
        <v>2002</v>
      </c>
      <c r="I171" t="str">
        <f t="shared" si="2"/>
        <v>INSERT INTO T_Dim_J VALUES ('170', 'M', 'Joško', 'GVARDIOL', 'Defender', 'CROATIA', '2002');</v>
      </c>
    </row>
    <row r="172" spans="1:9" x14ac:dyDescent="0.35">
      <c r="A172">
        <v>171</v>
      </c>
      <c r="B172" t="s">
        <v>1080</v>
      </c>
      <c r="C172" t="s">
        <v>257</v>
      </c>
      <c r="D172" t="s">
        <v>1280</v>
      </c>
      <c r="E172" t="s">
        <v>914</v>
      </c>
      <c r="F172" t="s">
        <v>1086</v>
      </c>
      <c r="G172">
        <v>2002</v>
      </c>
      <c r="I172" t="str">
        <f t="shared" si="2"/>
        <v>INSERT INTO T_Dim_J VALUES ('171', 'M', 'Gonçalo', 'RAMOS', 'Forward', 'PORTUGAL', '2002');</v>
      </c>
    </row>
    <row r="173" spans="1:9" x14ac:dyDescent="0.35">
      <c r="A173">
        <v>172</v>
      </c>
      <c r="B173" t="s">
        <v>1080</v>
      </c>
      <c r="C173" t="s">
        <v>300</v>
      </c>
      <c r="D173" t="s">
        <v>1287</v>
      </c>
      <c r="E173" t="s">
        <v>914</v>
      </c>
      <c r="F173" t="s">
        <v>1106</v>
      </c>
      <c r="G173">
        <v>2002</v>
      </c>
      <c r="I173" t="str">
        <f t="shared" si="2"/>
        <v>INSERT INTO T_Dim_J VALUES ('172', 'M', 'Nico', 'RICO', 'Forward', 'SPAIN', '2002');</v>
      </c>
    </row>
    <row r="174" spans="1:9" x14ac:dyDescent="0.35">
      <c r="A174">
        <v>173</v>
      </c>
      <c r="B174" t="s">
        <v>1080</v>
      </c>
      <c r="C174" t="s">
        <v>208</v>
      </c>
      <c r="D174" t="s">
        <v>1306</v>
      </c>
      <c r="E174" t="s">
        <v>926</v>
      </c>
      <c r="F174" t="s">
        <v>535</v>
      </c>
      <c r="G174">
        <v>2002</v>
      </c>
      <c r="I174" t="str">
        <f t="shared" si="2"/>
        <v>INSERT INTO T_Dim_J VALUES ('173', 'M', 'Aurélien', 'TCHOUAMÉNI', 'Midfielder', 'FRANCE', '2002');</v>
      </c>
    </row>
    <row r="175" spans="1:9" x14ac:dyDescent="0.35">
      <c r="A175">
        <v>174</v>
      </c>
      <c r="B175" t="s">
        <v>1080</v>
      </c>
      <c r="C175" t="s">
        <v>262</v>
      </c>
      <c r="D175" t="s">
        <v>1332</v>
      </c>
      <c r="E175" t="s">
        <v>923</v>
      </c>
      <c r="F175" t="s">
        <v>1105</v>
      </c>
      <c r="G175">
        <v>2002</v>
      </c>
      <c r="I175" t="str">
        <f t="shared" si="2"/>
        <v>INSERT INTO T_Dim_J VALUES ('174', 'M', 'Jurrien', 'TIMBER', 'Defender', 'NETHERLANDS', '2002');</v>
      </c>
    </row>
    <row r="176" spans="1:9" x14ac:dyDescent="0.35">
      <c r="A176">
        <v>175</v>
      </c>
      <c r="B176" t="s">
        <v>1080</v>
      </c>
      <c r="C176" t="s">
        <v>329</v>
      </c>
      <c r="D176" t="s">
        <v>526</v>
      </c>
      <c r="E176" t="s">
        <v>487</v>
      </c>
      <c r="F176" t="s">
        <v>541</v>
      </c>
      <c r="G176">
        <v>2002</v>
      </c>
      <c r="I176" t="str">
        <f t="shared" si="2"/>
        <v>INSERT INTO T_Dim_J VALUES ('175', 'M', 'Anatoliy', 'TRUBIN', 'Goalkeeper', 'UKRAINE', '2002');</v>
      </c>
    </row>
    <row r="177" spans="1:9" x14ac:dyDescent="0.35">
      <c r="A177">
        <v>176</v>
      </c>
      <c r="B177" t="s">
        <v>1080</v>
      </c>
      <c r="C177" t="s">
        <v>67</v>
      </c>
      <c r="D177" t="s">
        <v>1353</v>
      </c>
      <c r="E177" t="s">
        <v>926</v>
      </c>
      <c r="F177" t="s">
        <v>1374</v>
      </c>
      <c r="G177">
        <v>2002</v>
      </c>
      <c r="I177" t="str">
        <f t="shared" si="2"/>
        <v>INSERT INTO T_Dim_J VALUES ('176', 'M', 'Manuel', 'UGARTE', 'Midfielder', 'URUGUAY', '2002');</v>
      </c>
    </row>
    <row r="178" spans="1:9" x14ac:dyDescent="0.35">
      <c r="A178">
        <v>177</v>
      </c>
      <c r="B178" t="s">
        <v>1080</v>
      </c>
      <c r="C178" t="s">
        <v>49</v>
      </c>
      <c r="D178" t="s">
        <v>1333</v>
      </c>
      <c r="E178" t="s">
        <v>914</v>
      </c>
      <c r="F178" t="s">
        <v>1105</v>
      </c>
      <c r="G178">
        <v>2002</v>
      </c>
      <c r="I178" t="str">
        <f t="shared" si="2"/>
        <v>INSERT INTO T_Dim_J VALUES ('177', 'M', 'Joshua', 'ZIRKZEE', 'Forward', 'NETHERLANDS', '2002');</v>
      </c>
    </row>
    <row r="179" spans="1:9" x14ac:dyDescent="0.35">
      <c r="A179">
        <v>178</v>
      </c>
      <c r="B179" t="s">
        <v>1080</v>
      </c>
      <c r="C179" t="s">
        <v>263</v>
      </c>
      <c r="D179" t="s">
        <v>1321</v>
      </c>
      <c r="E179" t="s">
        <v>923</v>
      </c>
      <c r="F179" t="s">
        <v>536</v>
      </c>
      <c r="G179">
        <v>2003</v>
      </c>
      <c r="I179" t="str">
        <f t="shared" si="2"/>
        <v>INSERT INTO T_Dim_J VALUES ('178', 'M', 'Antonio', 'ANTONIO', 'Defender', 'ITALY', '2003');</v>
      </c>
    </row>
    <row r="180" spans="1:9" x14ac:dyDescent="0.35">
      <c r="A180">
        <v>179</v>
      </c>
      <c r="B180" t="s">
        <v>1080</v>
      </c>
      <c r="C180" t="s">
        <v>112</v>
      </c>
      <c r="D180" t="s">
        <v>1244</v>
      </c>
      <c r="E180" t="s">
        <v>926</v>
      </c>
      <c r="F180" t="s">
        <v>528</v>
      </c>
      <c r="G180">
        <v>2003</v>
      </c>
      <c r="I180" t="str">
        <f t="shared" si="2"/>
        <v>INSERT INTO T_Dim_J VALUES ('179', 'M', 'Jude', 'BELLINGHAM', 'Midfielder', 'ENGLAND', '2003');</v>
      </c>
    </row>
    <row r="181" spans="1:9" x14ac:dyDescent="0.35">
      <c r="A181">
        <v>180</v>
      </c>
      <c r="B181" t="s">
        <v>1080</v>
      </c>
      <c r="C181" t="s">
        <v>210</v>
      </c>
      <c r="D181" t="s">
        <v>1307</v>
      </c>
      <c r="E181" t="s">
        <v>926</v>
      </c>
      <c r="F181" t="s">
        <v>535</v>
      </c>
      <c r="G181">
        <v>2003</v>
      </c>
      <c r="I181" t="str">
        <f t="shared" si="2"/>
        <v>INSERT INTO T_Dim_J VALUES ('180', 'M', 'Eduardo', 'CAMAVINGA', 'Midfielder', 'FRANCE', '2003');</v>
      </c>
    </row>
    <row r="182" spans="1:9" x14ac:dyDescent="0.35">
      <c r="A182">
        <v>181</v>
      </c>
      <c r="B182" t="s">
        <v>1080</v>
      </c>
      <c r="C182" t="s">
        <v>233</v>
      </c>
      <c r="D182" t="s">
        <v>1288</v>
      </c>
      <c r="E182" t="s">
        <v>914</v>
      </c>
      <c r="F182" t="s">
        <v>1106</v>
      </c>
      <c r="G182">
        <v>2003</v>
      </c>
      <c r="I182" t="str">
        <f t="shared" si="2"/>
        <v>INSERT INTO T_Dim_J VALUES ('181', 'M', 'Ansu', 'FATI', 'Forward', 'SPAIN', '2003');</v>
      </c>
    </row>
    <row r="183" spans="1:9" x14ac:dyDescent="0.35">
      <c r="A183">
        <v>182</v>
      </c>
      <c r="B183" t="s">
        <v>1080</v>
      </c>
      <c r="C183" t="s">
        <v>212</v>
      </c>
      <c r="D183" t="s">
        <v>1334</v>
      </c>
      <c r="E183" t="s">
        <v>926</v>
      </c>
      <c r="F183" t="s">
        <v>1105</v>
      </c>
      <c r="G183">
        <v>2003</v>
      </c>
      <c r="I183" t="str">
        <f t="shared" si="2"/>
        <v>INSERT INTO T_Dim_J VALUES ('182', 'M', 'Ryan', 'GRAVENBERCH', 'Midfielder', 'NETHERLANDS', '2003');</v>
      </c>
    </row>
    <row r="184" spans="1:9" x14ac:dyDescent="0.35">
      <c r="A184">
        <v>183</v>
      </c>
      <c r="B184" t="s">
        <v>1080</v>
      </c>
      <c r="C184" t="s">
        <v>237</v>
      </c>
      <c r="D184" t="s">
        <v>1277</v>
      </c>
      <c r="E184" t="s">
        <v>923</v>
      </c>
      <c r="F184" t="s">
        <v>1366</v>
      </c>
      <c r="G184">
        <v>2003</v>
      </c>
      <c r="I184" t="str">
        <f t="shared" si="2"/>
        <v>INSERT INTO T_Dim_J VALUES ('183', 'M', 'Piero', 'HINCAPIÉ', 'Defender', 'ECUADOR', '2003');</v>
      </c>
    </row>
    <row r="185" spans="1:9" x14ac:dyDescent="0.35">
      <c r="A185">
        <v>184</v>
      </c>
      <c r="B185" t="s">
        <v>1080</v>
      </c>
      <c r="C185" t="s">
        <v>251</v>
      </c>
      <c r="D185" t="s">
        <v>1274</v>
      </c>
      <c r="E185" t="s">
        <v>914</v>
      </c>
      <c r="F185" t="s">
        <v>1107</v>
      </c>
      <c r="G185">
        <v>2003</v>
      </c>
      <c r="I185" t="str">
        <f t="shared" si="2"/>
        <v>INSERT INTO T_Dim_J VALUES ('184', 'M', 'Rasmus', 'HØJLUND', 'Forward', 'DENMARK', '2003');</v>
      </c>
    </row>
    <row r="186" spans="1:9" x14ac:dyDescent="0.35">
      <c r="A186">
        <v>185</v>
      </c>
      <c r="B186" t="s">
        <v>1080</v>
      </c>
      <c r="C186" t="s">
        <v>294</v>
      </c>
      <c r="D186" t="s">
        <v>1255</v>
      </c>
      <c r="E186" t="s">
        <v>926</v>
      </c>
      <c r="F186" t="s">
        <v>530</v>
      </c>
      <c r="G186">
        <v>2003</v>
      </c>
      <c r="I186" t="str">
        <f t="shared" si="2"/>
        <v>INSERT INTO T_Dim_J VALUES ('185', 'M', 'Roméo', 'LAVIA', 'Midfielder', 'BELGIUM', '2003');</v>
      </c>
    </row>
    <row r="187" spans="1:9" x14ac:dyDescent="0.35">
      <c r="A187">
        <v>186</v>
      </c>
      <c r="B187" t="s">
        <v>1080</v>
      </c>
      <c r="C187" t="s">
        <v>286</v>
      </c>
      <c r="D187" t="s">
        <v>1250</v>
      </c>
      <c r="E187" t="s">
        <v>923</v>
      </c>
      <c r="F187" t="s">
        <v>529</v>
      </c>
      <c r="G187">
        <v>2003</v>
      </c>
      <c r="I187" t="str">
        <f t="shared" si="2"/>
        <v>INSERT INTO T_Dim_J VALUES ('186', 'M', 'Facundo', 'MEDINA', 'Defender', 'ARGENTINA', '2003');</v>
      </c>
    </row>
    <row r="188" spans="1:9" x14ac:dyDescent="0.35">
      <c r="A188">
        <v>187</v>
      </c>
      <c r="B188" t="s">
        <v>1080</v>
      </c>
      <c r="C188" t="s">
        <v>110</v>
      </c>
      <c r="D188" t="s">
        <v>1289</v>
      </c>
      <c r="E188" t="s">
        <v>926</v>
      </c>
      <c r="F188" t="s">
        <v>1106</v>
      </c>
      <c r="G188">
        <v>2003</v>
      </c>
      <c r="I188" t="str">
        <f t="shared" si="2"/>
        <v>INSERT INTO T_Dim_J VALUES ('187', 'M', 'Pedro', 'PEDRI', 'Midfielder', 'SPAIN', '2003');</v>
      </c>
    </row>
    <row r="189" spans="1:9" x14ac:dyDescent="0.35">
      <c r="A189">
        <v>188</v>
      </c>
      <c r="B189" t="s">
        <v>1080</v>
      </c>
      <c r="C189" t="s">
        <v>231</v>
      </c>
      <c r="D189" t="s">
        <v>1233</v>
      </c>
      <c r="E189" t="s">
        <v>926</v>
      </c>
      <c r="F189" t="s">
        <v>527</v>
      </c>
      <c r="G189">
        <v>2003</v>
      </c>
      <c r="I189" t="str">
        <f t="shared" si="2"/>
        <v>INSERT INTO T_Dim_J VALUES ('188', 'M', 'Florian', 'WIRTZ', 'Midfielder', 'GERMANY', '2003');</v>
      </c>
    </row>
    <row r="190" spans="1:9" x14ac:dyDescent="0.35">
      <c r="A190">
        <v>189</v>
      </c>
      <c r="B190" t="s">
        <v>1080</v>
      </c>
      <c r="C190" t="s">
        <v>243</v>
      </c>
      <c r="D190" t="s">
        <v>1290</v>
      </c>
      <c r="E190" t="s">
        <v>923</v>
      </c>
      <c r="F190" t="s">
        <v>1106</v>
      </c>
      <c r="G190">
        <v>2004</v>
      </c>
      <c r="I190" t="str">
        <f t="shared" si="2"/>
        <v>INSERT INTO T_Dim_J VALUES ('189', 'M', 'Alejandro', 'BALDE', 'Defender', 'SPAIN', '2004');</v>
      </c>
    </row>
    <row r="191" spans="1:9" x14ac:dyDescent="0.35">
      <c r="A191">
        <v>190</v>
      </c>
      <c r="B191" t="s">
        <v>1080</v>
      </c>
      <c r="C191" t="s">
        <v>270</v>
      </c>
      <c r="D191" t="s">
        <v>1308</v>
      </c>
      <c r="E191" t="s">
        <v>914</v>
      </c>
      <c r="F191" t="s">
        <v>535</v>
      </c>
      <c r="G191">
        <v>2004</v>
      </c>
      <c r="I191" t="str">
        <f t="shared" si="2"/>
        <v>INSERT INTO T_Dim_J VALUES ('190', 'M', 'Rayan', 'CHERKI', 'Forward', 'FRANCE', '2004');</v>
      </c>
    </row>
    <row r="192" spans="1:9" x14ac:dyDescent="0.35">
      <c r="A192">
        <v>191</v>
      </c>
      <c r="B192" t="s">
        <v>1080</v>
      </c>
      <c r="C192" t="s">
        <v>291</v>
      </c>
      <c r="D192" t="s">
        <v>1245</v>
      </c>
      <c r="E192" t="s">
        <v>926</v>
      </c>
      <c r="F192" t="s">
        <v>528</v>
      </c>
      <c r="G192">
        <v>2004</v>
      </c>
      <c r="I192" t="str">
        <f t="shared" si="2"/>
        <v>INSERT INTO T_Dim_J VALUES ('191', 'M', 'Carney', 'CHUKWUEMEKA', 'Midfielder', 'ENGLAND', '2004');</v>
      </c>
    </row>
    <row r="193" spans="1:9" x14ac:dyDescent="0.35">
      <c r="A193">
        <v>192</v>
      </c>
      <c r="B193" t="s">
        <v>1080</v>
      </c>
      <c r="C193" t="s">
        <v>178</v>
      </c>
      <c r="D193" t="s">
        <v>1322</v>
      </c>
      <c r="E193" t="s">
        <v>926</v>
      </c>
      <c r="F193" t="s">
        <v>536</v>
      </c>
      <c r="G193">
        <v>2004</v>
      </c>
      <c r="I193" t="str">
        <f t="shared" si="2"/>
        <v>INSERT INTO T_Dim_J VALUES ('192', 'M', 'Fabio', 'MIRETTI', 'Midfielder', 'ITALY', '2004');</v>
      </c>
    </row>
    <row r="194" spans="1:9" x14ac:dyDescent="0.35">
      <c r="A194">
        <v>193</v>
      </c>
      <c r="B194" t="s">
        <v>1080</v>
      </c>
      <c r="C194" t="s">
        <v>229</v>
      </c>
      <c r="D194" t="s">
        <v>1234</v>
      </c>
      <c r="E194" t="s">
        <v>926</v>
      </c>
      <c r="F194" t="s">
        <v>527</v>
      </c>
      <c r="G194">
        <v>2004</v>
      </c>
      <c r="I194" t="str">
        <f t="shared" si="2"/>
        <v>INSERT INTO T_Dim_J VALUES ('193', 'M', 'Jamal', 'MUSIALA', 'Midfielder', 'GERMANY', '2004');</v>
      </c>
    </row>
    <row r="195" spans="1:9" x14ac:dyDescent="0.35">
      <c r="A195">
        <v>194</v>
      </c>
      <c r="B195" t="s">
        <v>1080</v>
      </c>
      <c r="C195" t="s">
        <v>289</v>
      </c>
      <c r="D195" t="s">
        <v>1291</v>
      </c>
      <c r="E195" t="s">
        <v>914</v>
      </c>
      <c r="F195" t="s">
        <v>1106</v>
      </c>
      <c r="G195">
        <v>2004</v>
      </c>
      <c r="I195" t="str">
        <f t="shared" ref="I195:I234" si="3">CONCATENATE("INSERT INTO T_Dim_J VALUES ('",A195,$I$1,B195,$I$1,C195,$I$1,D195,$I$1,E195,$I$1,F195,$I$1,G195,"');")</f>
        <v>INSERT INTO T_Dim_J VALUES ('194', 'M', 'Yeremy', 'PINO', 'Forward', 'SPAIN', '2004');</v>
      </c>
    </row>
    <row r="196" spans="1:9" x14ac:dyDescent="0.35">
      <c r="A196">
        <v>195</v>
      </c>
      <c r="B196" t="s">
        <v>1080</v>
      </c>
      <c r="C196" t="s">
        <v>78</v>
      </c>
      <c r="D196" t="s">
        <v>1323</v>
      </c>
      <c r="E196" t="s">
        <v>923</v>
      </c>
      <c r="F196" t="s">
        <v>536</v>
      </c>
      <c r="G196">
        <v>2004</v>
      </c>
      <c r="I196" t="str">
        <f t="shared" si="3"/>
        <v>INSERT INTO T_Dim_J VALUES ('195', 'M', 'Giorgio', 'SCALVINI', 'Defender', 'ITALY', '2004');</v>
      </c>
    </row>
    <row r="197" spans="1:9" x14ac:dyDescent="0.35">
      <c r="A197">
        <v>196</v>
      </c>
      <c r="B197" t="s">
        <v>1080</v>
      </c>
      <c r="C197" t="s">
        <v>153</v>
      </c>
      <c r="D197" t="s">
        <v>1335</v>
      </c>
      <c r="E197" t="s">
        <v>926</v>
      </c>
      <c r="F197" t="s">
        <v>1105</v>
      </c>
      <c r="G197">
        <v>2004</v>
      </c>
      <c r="I197" t="str">
        <f t="shared" si="3"/>
        <v>INSERT INTO T_Dim_J VALUES ('196', 'M', 'Xavi', 'SIMONS', 'Midfielder', 'NETHERLANDS', '2004');</v>
      </c>
    </row>
    <row r="198" spans="1:9" x14ac:dyDescent="0.35">
      <c r="A198">
        <v>197</v>
      </c>
      <c r="B198" t="s">
        <v>1080</v>
      </c>
      <c r="C198" t="s">
        <v>254</v>
      </c>
      <c r="D198" t="s">
        <v>1311</v>
      </c>
      <c r="E198" t="s">
        <v>914</v>
      </c>
      <c r="F198" t="s">
        <v>1370</v>
      </c>
      <c r="G198">
        <v>2005</v>
      </c>
      <c r="I198" t="str">
        <f t="shared" si="3"/>
        <v>INSERT INTO T_Dim_J VALUES ('197', 'M', 'Evan', 'FERGUSON', 'Forward', 'IRELAND', '2005');</v>
      </c>
    </row>
    <row r="199" spans="1:9" x14ac:dyDescent="0.35">
      <c r="A199">
        <v>198</v>
      </c>
      <c r="B199" t="s">
        <v>1080</v>
      </c>
      <c r="C199" t="s">
        <v>243</v>
      </c>
      <c r="D199" t="s">
        <v>1251</v>
      </c>
      <c r="E199" t="s">
        <v>914</v>
      </c>
      <c r="F199" t="s">
        <v>529</v>
      </c>
      <c r="G199">
        <v>2005</v>
      </c>
      <c r="I199" t="str">
        <f t="shared" si="3"/>
        <v>INSERT INTO T_Dim_J VALUES ('198', 'M', 'Alejandro', 'GARNACHO', 'Forward', 'ARGENTINA', '2005');</v>
      </c>
    </row>
    <row r="200" spans="1:9" x14ac:dyDescent="0.35">
      <c r="A200">
        <v>199</v>
      </c>
      <c r="B200" t="s">
        <v>1080</v>
      </c>
      <c r="C200" t="s">
        <v>225</v>
      </c>
      <c r="D200" t="s">
        <v>1292</v>
      </c>
      <c r="E200" t="s">
        <v>926</v>
      </c>
      <c r="F200" t="s">
        <v>1106</v>
      </c>
      <c r="G200">
        <v>2005</v>
      </c>
      <c r="I200" t="str">
        <f t="shared" si="3"/>
        <v>INSERT INTO T_Dim_J VALUES ('199', 'M', 'Pablo', 'GAVI', 'Midfielder', 'SPAIN', '2005');</v>
      </c>
    </row>
    <row r="201" spans="1:9" x14ac:dyDescent="0.35">
      <c r="A201">
        <v>200</v>
      </c>
      <c r="B201" t="s">
        <v>1080</v>
      </c>
      <c r="C201" t="s">
        <v>277</v>
      </c>
      <c r="D201" t="s">
        <v>1235</v>
      </c>
      <c r="E201" t="s">
        <v>914</v>
      </c>
      <c r="F201" t="s">
        <v>527</v>
      </c>
      <c r="G201">
        <v>2005</v>
      </c>
      <c r="I201" t="str">
        <f t="shared" si="3"/>
        <v>INSERT INTO T_Dim_J VALUES ('200', 'M', 'Youssoufa', 'MOUKOKO', 'Forward', 'GERMANY', '2005');</v>
      </c>
    </row>
    <row r="202" spans="1:9" x14ac:dyDescent="0.35">
      <c r="A202">
        <v>201</v>
      </c>
      <c r="B202" t="s">
        <v>1080</v>
      </c>
      <c r="C202" t="s">
        <v>295</v>
      </c>
      <c r="D202" t="s">
        <v>1266</v>
      </c>
      <c r="E202" t="s">
        <v>914</v>
      </c>
      <c r="F202" t="s">
        <v>531</v>
      </c>
      <c r="G202">
        <v>2007</v>
      </c>
      <c r="I202" t="str">
        <f t="shared" si="3"/>
        <v>INSERT INTO T_Dim_J VALUES ('201', 'M', 'Endrick', 'ENDRICK', 'Forward', 'BRAZIL', '2007');</v>
      </c>
    </row>
    <row r="203" spans="1:9" x14ac:dyDescent="0.35">
      <c r="A203">
        <v>202</v>
      </c>
      <c r="B203" t="s">
        <v>1080</v>
      </c>
      <c r="C203" t="s">
        <v>223</v>
      </c>
      <c r="D203" t="s">
        <v>1293</v>
      </c>
      <c r="E203" t="s">
        <v>914</v>
      </c>
      <c r="F203" t="s">
        <v>1106</v>
      </c>
      <c r="G203">
        <v>2008</v>
      </c>
      <c r="I203" t="str">
        <f t="shared" si="3"/>
        <v>INSERT INTO T_Dim_J VALUES ('202', 'M', 'Lamine', 'YAMAL', 'Forward', 'SPAIN', '2008');</v>
      </c>
    </row>
    <row r="204" spans="1:9" x14ac:dyDescent="0.35">
      <c r="A204">
        <v>203</v>
      </c>
      <c r="B204" t="s">
        <v>1080</v>
      </c>
      <c r="C204" s="2" t="s">
        <v>636</v>
      </c>
      <c r="D204" s="2" t="s">
        <v>1408</v>
      </c>
      <c r="E204" t="s">
        <v>1115</v>
      </c>
      <c r="F204" t="s">
        <v>1115</v>
      </c>
      <c r="G204" t="s">
        <v>1115</v>
      </c>
      <c r="I204" t="str">
        <f t="shared" si="3"/>
        <v>INSERT INTO T_Dim_J VALUES ('203', 'M', 'Nabil', 'BENTALEB', 'NULL', 'NULL', 'NULL');</v>
      </c>
    </row>
    <row r="205" spans="1:9" x14ac:dyDescent="0.35">
      <c r="A205">
        <v>204</v>
      </c>
      <c r="B205" t="s">
        <v>1080</v>
      </c>
      <c r="C205" s="2" t="s">
        <v>608</v>
      </c>
      <c r="D205" s="2" t="s">
        <v>1409</v>
      </c>
      <c r="E205" t="s">
        <v>1115</v>
      </c>
      <c r="F205" t="s">
        <v>1115</v>
      </c>
      <c r="G205" t="s">
        <v>1115</v>
      </c>
      <c r="I205" t="str">
        <f t="shared" si="3"/>
        <v>INSERT INTO T_Dim_J VALUES ('204', 'M', 'Sven', 'BOTMAN', 'NULL', 'NULL', 'NULL');</v>
      </c>
    </row>
    <row r="206" spans="1:9" x14ac:dyDescent="0.35">
      <c r="A206">
        <v>205</v>
      </c>
      <c r="B206" t="s">
        <v>1080</v>
      </c>
      <c r="C206" s="2" t="s">
        <v>604</v>
      </c>
      <c r="D206" s="2" t="s">
        <v>1410</v>
      </c>
      <c r="E206" t="s">
        <v>1115</v>
      </c>
      <c r="F206" t="s">
        <v>1115</v>
      </c>
      <c r="G206" t="s">
        <v>1115</v>
      </c>
      <c r="I206" t="str">
        <f t="shared" si="3"/>
        <v>INSERT INTO T_Dim_J VALUES ('205', 'M', 'Gleison', 'BREMER', 'NULL', 'NULL', 'NULL');</v>
      </c>
    </row>
    <row r="207" spans="1:9" x14ac:dyDescent="0.35">
      <c r="A207">
        <v>206</v>
      </c>
      <c r="B207" t="s">
        <v>1080</v>
      </c>
      <c r="C207" s="2" t="s">
        <v>663</v>
      </c>
      <c r="D207" s="2" t="s">
        <v>1411</v>
      </c>
      <c r="E207" t="s">
        <v>1115</v>
      </c>
      <c r="F207" t="s">
        <v>1115</v>
      </c>
      <c r="G207" t="s">
        <v>1115</v>
      </c>
      <c r="I207" t="str">
        <f t="shared" si="3"/>
        <v>INSERT INTO T_Dim_J VALUES ('206', 'M', 'Nathan', 'BUAYI-KIALA', 'NULL', 'NULL', 'NULL');</v>
      </c>
    </row>
    <row r="208" spans="1:9" x14ac:dyDescent="0.35">
      <c r="A208">
        <v>207</v>
      </c>
      <c r="B208" t="s">
        <v>1080</v>
      </c>
      <c r="C208" s="2" t="s">
        <v>661</v>
      </c>
      <c r="D208" s="2" t="s">
        <v>1412</v>
      </c>
      <c r="E208" t="s">
        <v>1115</v>
      </c>
      <c r="F208" t="s">
        <v>1115</v>
      </c>
      <c r="G208" t="s">
        <v>1115</v>
      </c>
      <c r="I208" t="str">
        <f t="shared" si="3"/>
        <v>INSERT INTO T_Dim_J VALUES ('207', 'M', 'Valentín', 'CARBONI', 'NULL', 'NULL', 'NULL');</v>
      </c>
    </row>
    <row r="209" spans="1:9" x14ac:dyDescent="0.35">
      <c r="A209">
        <v>208</v>
      </c>
      <c r="B209" t="s">
        <v>1080</v>
      </c>
      <c r="C209" s="2" t="s">
        <v>227</v>
      </c>
      <c r="D209" s="2" t="s">
        <v>1413</v>
      </c>
      <c r="E209" t="s">
        <v>1115</v>
      </c>
      <c r="F209" t="s">
        <v>1115</v>
      </c>
      <c r="G209" t="s">
        <v>1115</v>
      </c>
      <c r="I209" t="str">
        <f t="shared" si="3"/>
        <v>INSERT INTO T_Dim_J VALUES ('208', 'M', 'Dani', 'CARVAJAL', 'NULL', 'NULL', 'NULL');</v>
      </c>
    </row>
    <row r="210" spans="1:9" x14ac:dyDescent="0.35">
      <c r="A210">
        <v>209</v>
      </c>
      <c r="B210" t="s">
        <v>1080</v>
      </c>
      <c r="C210" s="2" t="s">
        <v>668</v>
      </c>
      <c r="D210" s="2" t="s">
        <v>1414</v>
      </c>
      <c r="E210" t="s">
        <v>1115</v>
      </c>
      <c r="F210" t="s">
        <v>1115</v>
      </c>
      <c r="G210" t="s">
        <v>1115</v>
      </c>
      <c r="I210" t="str">
        <f t="shared" si="3"/>
        <v>INSERT INTO T_Dim_J VALUES ('209', 'M', 'José Luis', 'CATALÁ', 'NULL', 'NULL', 'NULL');</v>
      </c>
    </row>
    <row r="211" spans="1:9" x14ac:dyDescent="0.35">
      <c r="A211">
        <v>210</v>
      </c>
      <c r="B211" t="s">
        <v>1080</v>
      </c>
      <c r="C211" s="2" t="s">
        <v>645</v>
      </c>
      <c r="D211" s="2" t="s">
        <v>1415</v>
      </c>
      <c r="E211" t="s">
        <v>1115</v>
      </c>
      <c r="F211" t="s">
        <v>1115</v>
      </c>
      <c r="G211" t="s">
        <v>1115</v>
      </c>
      <c r="I211" t="str">
        <f t="shared" si="3"/>
        <v>INSERT INTO T_Dim_J VALUES ('210', 'M', 'Sidiki', 'CHÉRIF', 'NULL', 'NULL', 'NULL');</v>
      </c>
    </row>
    <row r="212" spans="1:9" x14ac:dyDescent="0.35">
      <c r="A212">
        <v>211</v>
      </c>
      <c r="B212" t="s">
        <v>1080</v>
      </c>
      <c r="C212" s="2" t="s">
        <v>653</v>
      </c>
      <c r="D212" s="2" t="s">
        <v>1416</v>
      </c>
      <c r="E212" t="s">
        <v>1115</v>
      </c>
      <c r="F212" t="s">
        <v>1115</v>
      </c>
      <c r="G212" t="s">
        <v>1115</v>
      </c>
      <c r="I212" t="str">
        <f t="shared" si="3"/>
        <v>INSERT INTO T_Dim_J VALUES ('211', 'M', 'Lasso', 'COULIBALY', 'NULL', 'NULL', 'NULL');</v>
      </c>
    </row>
    <row r="213" spans="1:9" x14ac:dyDescent="0.35">
      <c r="A213">
        <v>212</v>
      </c>
      <c r="B213" t="s">
        <v>1080</v>
      </c>
      <c r="C213" s="2" t="s">
        <v>639</v>
      </c>
      <c r="D213" s="2" t="s">
        <v>1417</v>
      </c>
      <c r="E213" t="s">
        <v>1115</v>
      </c>
      <c r="F213" t="s">
        <v>1115</v>
      </c>
      <c r="G213" t="s">
        <v>1115</v>
      </c>
      <c r="I213" t="str">
        <f t="shared" si="3"/>
        <v>INSERT INTO T_Dim_J VALUES ('212', 'M', 'Matias', 'FERNANDEZ-PARDO', 'NULL', 'NULL', 'NULL');</v>
      </c>
    </row>
    <row r="214" spans="1:9" x14ac:dyDescent="0.35">
      <c r="A214">
        <v>213</v>
      </c>
      <c r="B214" t="s">
        <v>1080</v>
      </c>
      <c r="C214" s="2" t="s">
        <v>606</v>
      </c>
      <c r="D214" s="2" t="s">
        <v>1418</v>
      </c>
      <c r="E214" t="s">
        <v>1115</v>
      </c>
      <c r="F214" t="s">
        <v>1115</v>
      </c>
      <c r="G214" t="s">
        <v>1115</v>
      </c>
      <c r="I214" t="str">
        <f t="shared" si="3"/>
        <v>INSERT INTO T_Dim_J VALUES ('213', 'M', 'Alessandro', 'FLORENZI', 'NULL', 'NULL', 'NULL');</v>
      </c>
    </row>
    <row r="215" spans="1:9" x14ac:dyDescent="0.35">
      <c r="A215">
        <v>214</v>
      </c>
      <c r="B215" t="s">
        <v>1080</v>
      </c>
      <c r="C215" s="2" t="s">
        <v>666</v>
      </c>
      <c r="D215" s="2" t="s">
        <v>1419</v>
      </c>
      <c r="E215" t="s">
        <v>1115</v>
      </c>
      <c r="F215" t="s">
        <v>1115</v>
      </c>
      <c r="G215" t="s">
        <v>1115</v>
      </c>
      <c r="I215" t="str">
        <f t="shared" si="3"/>
        <v>INSERT INTO T_Dim_J VALUES ('214', 'M', 'José', 'GRAGERA', 'NULL', 'NULL', 'NULL');</v>
      </c>
    </row>
    <row r="216" spans="1:9" x14ac:dyDescent="0.35">
      <c r="A216">
        <v>215</v>
      </c>
      <c r="B216" t="s">
        <v>1080</v>
      </c>
      <c r="C216" s="2" t="s">
        <v>82</v>
      </c>
      <c r="D216" s="2" t="s">
        <v>1420</v>
      </c>
      <c r="E216" t="s">
        <v>1115</v>
      </c>
      <c r="F216" t="s">
        <v>1115</v>
      </c>
      <c r="G216" t="s">
        <v>1115</v>
      </c>
      <c r="I216" t="str">
        <f t="shared" si="3"/>
        <v>INSERT INTO T_Dim_J VALUES ('215', 'M', 'Rodri', 'HERNÁNDEZ', 'NULL', 'NULL', 'NULL');</v>
      </c>
    </row>
    <row r="217" spans="1:9" x14ac:dyDescent="0.35">
      <c r="A217">
        <v>216</v>
      </c>
      <c r="B217" t="s">
        <v>1080</v>
      </c>
      <c r="C217" s="2" t="s">
        <v>600</v>
      </c>
      <c r="D217" s="2" t="s">
        <v>1421</v>
      </c>
      <c r="E217" t="s">
        <v>1115</v>
      </c>
      <c r="F217" t="s">
        <v>1115</v>
      </c>
      <c r="G217" t="s">
        <v>1115</v>
      </c>
      <c r="I217" t="str">
        <f t="shared" si="3"/>
        <v>INSERT INTO T_Dim_J VALUES ('216', 'M', 'Mauro', 'ICARDI', 'NULL', 'NULL', 'NULL');</v>
      </c>
    </row>
    <row r="218" spans="1:9" x14ac:dyDescent="0.35">
      <c r="A218">
        <v>217</v>
      </c>
      <c r="B218" t="s">
        <v>1080</v>
      </c>
      <c r="C218" s="2" t="s">
        <v>631</v>
      </c>
      <c r="D218" s="2" t="s">
        <v>1423</v>
      </c>
      <c r="E218" t="s">
        <v>1115</v>
      </c>
      <c r="F218" t="s">
        <v>1115</v>
      </c>
      <c r="G218" t="s">
        <v>1115</v>
      </c>
      <c r="I218" t="str">
        <f t="shared" si="3"/>
        <v>INSERT INTO T_Dim_J VALUES ('217', 'M', 'Tino', 'KADEWERE', 'NULL', 'NULL', 'NULL');</v>
      </c>
    </row>
    <row r="219" spans="1:9" x14ac:dyDescent="0.35">
      <c r="A219">
        <v>218</v>
      </c>
      <c r="B219" t="s">
        <v>1080</v>
      </c>
      <c r="C219" s="2" t="s">
        <v>642</v>
      </c>
      <c r="D219" s="2" t="s">
        <v>1424</v>
      </c>
      <c r="E219" t="s">
        <v>1115</v>
      </c>
      <c r="F219" t="s">
        <v>1115</v>
      </c>
      <c r="G219" t="s">
        <v>1115</v>
      </c>
      <c r="I219" t="str">
        <f t="shared" si="3"/>
        <v>INSERT INTO T_Dim_J VALUES ('218', 'M', 'Daler', 'KUZYAEV', 'NULL', 'NULL', 'NULL');</v>
      </c>
    </row>
    <row r="220" spans="1:9" x14ac:dyDescent="0.35">
      <c r="A220">
        <v>219</v>
      </c>
      <c r="B220" t="s">
        <v>1080</v>
      </c>
      <c r="C220" s="2" t="s">
        <v>656</v>
      </c>
      <c r="D220" s="2" t="s">
        <v>1425</v>
      </c>
      <c r="E220" t="s">
        <v>1115</v>
      </c>
      <c r="F220" t="s">
        <v>1115</v>
      </c>
      <c r="G220" t="s">
        <v>1115</v>
      </c>
      <c r="I220" t="str">
        <f t="shared" si="3"/>
        <v>INSERT INTO T_Dim_J VALUES ('219', 'M', 'Rémy', 'LABEAU LASCARY', 'NULL', 'NULL', 'NULL');</v>
      </c>
    </row>
    <row r="221" spans="1:9" x14ac:dyDescent="0.35">
      <c r="A221">
        <v>220</v>
      </c>
      <c r="B221" t="s">
        <v>1080</v>
      </c>
      <c r="C221" s="2" t="s">
        <v>623</v>
      </c>
      <c r="D221" s="2" t="s">
        <v>1426</v>
      </c>
      <c r="E221" t="s">
        <v>1115</v>
      </c>
      <c r="F221" t="s">
        <v>1115</v>
      </c>
      <c r="G221" t="s">
        <v>1115</v>
      </c>
      <c r="I221" t="str">
        <f t="shared" si="3"/>
        <v>INSERT INTO T_Dim_J VALUES ('220', 'M', 'Elysée', 'LOGBO', 'NULL', 'NULL', 'NULL');</v>
      </c>
    </row>
    <row r="222" spans="1:9" x14ac:dyDescent="0.35">
      <c r="A222">
        <v>221</v>
      </c>
      <c r="B222" t="s">
        <v>1080</v>
      </c>
      <c r="C222" s="2" t="s">
        <v>650</v>
      </c>
      <c r="D222" s="2" t="s">
        <v>1427</v>
      </c>
      <c r="E222" t="s">
        <v>1115</v>
      </c>
      <c r="F222" t="s">
        <v>1115</v>
      </c>
      <c r="G222" t="s">
        <v>1115</v>
      </c>
      <c r="I222" t="str">
        <f t="shared" si="3"/>
        <v>INSERT INTO T_Dim_J VALUES ('221', 'M', 'Yvann', 'MAÇON', 'NULL', 'NULL', 'NULL');</v>
      </c>
    </row>
    <row r="223" spans="1:9" x14ac:dyDescent="0.35">
      <c r="A223">
        <v>222</v>
      </c>
      <c r="B223" t="s">
        <v>1080</v>
      </c>
      <c r="C223" s="2" t="s">
        <v>658</v>
      </c>
      <c r="D223" s="2" t="s">
        <v>1428</v>
      </c>
      <c r="E223" t="s">
        <v>1115</v>
      </c>
      <c r="F223" t="s">
        <v>1115</v>
      </c>
      <c r="G223" t="s">
        <v>1115</v>
      </c>
      <c r="I223" t="str">
        <f t="shared" si="3"/>
        <v>INSERT INTO T_Dim_J VALUES ('222', 'M', 'Nikola', 'MAKSIMOVIĆ', 'NULL', 'NULL', 'NULL');</v>
      </c>
    </row>
    <row r="224" spans="1:9" x14ac:dyDescent="0.35">
      <c r="A224">
        <v>223</v>
      </c>
      <c r="B224" t="s">
        <v>1080</v>
      </c>
      <c r="C224" s="2" t="s">
        <v>598</v>
      </c>
      <c r="D224" s="2" t="s">
        <v>1429</v>
      </c>
      <c r="E224" t="s">
        <v>1115</v>
      </c>
      <c r="F224" t="s">
        <v>1115</v>
      </c>
      <c r="G224" t="s">
        <v>1115</v>
      </c>
      <c r="I224" t="str">
        <f t="shared" si="3"/>
        <v>INSERT INTO T_Dim_J VALUES ('223', 'M', 'Eder', 'MILITÃO', 'NULL', 'NULL', 'NULL');</v>
      </c>
    </row>
    <row r="225" spans="1:9" x14ac:dyDescent="0.35">
      <c r="A225">
        <v>224</v>
      </c>
      <c r="B225" t="s">
        <v>1080</v>
      </c>
      <c r="C225" s="2" t="s">
        <v>626</v>
      </c>
      <c r="D225" s="2" t="s">
        <v>1430</v>
      </c>
      <c r="E225" t="s">
        <v>1115</v>
      </c>
      <c r="F225" t="s">
        <v>1115</v>
      </c>
      <c r="G225" t="s">
        <v>1115</v>
      </c>
      <c r="I225" t="str">
        <f t="shared" si="3"/>
        <v>INSERT INTO T_Dim_J VALUES ('224', 'M', 'Lucas', 'MINCARELLI', 'NULL', 'NULL', 'NULL');</v>
      </c>
    </row>
    <row r="226" spans="1:9" x14ac:dyDescent="0.35">
      <c r="A226">
        <v>225</v>
      </c>
      <c r="B226" t="s">
        <v>1080</v>
      </c>
      <c r="C226" s="2" t="s">
        <v>612</v>
      </c>
      <c r="D226" s="2" t="s">
        <v>1431</v>
      </c>
      <c r="E226" t="s">
        <v>1115</v>
      </c>
      <c r="F226" t="s">
        <v>1115</v>
      </c>
      <c r="G226" t="s">
        <v>1115</v>
      </c>
      <c r="I226" t="str">
        <f t="shared" si="3"/>
        <v>INSERT INTO T_Dim_J VALUES ('225', 'M', 'Terem', 'MOFFI', 'NULL', 'NULL', 'NULL');</v>
      </c>
    </row>
    <row r="227" spans="1:9" x14ac:dyDescent="0.35">
      <c r="A227">
        <v>226</v>
      </c>
      <c r="B227" t="s">
        <v>1080</v>
      </c>
      <c r="C227" s="2" t="s">
        <v>647</v>
      </c>
      <c r="D227" s="2" t="s">
        <v>1432</v>
      </c>
      <c r="E227" t="s">
        <v>1115</v>
      </c>
      <c r="F227" t="s">
        <v>1115</v>
      </c>
      <c r="G227" t="s">
        <v>1115</v>
      </c>
      <c r="I227" t="str">
        <f t="shared" si="3"/>
        <v>INSERT INTO T_Dim_J VALUES ('226', 'M', 'Aïmen', 'MOUEFFEK', 'NULL', 'NULL', 'NULL');</v>
      </c>
    </row>
    <row r="228" spans="1:9" x14ac:dyDescent="0.35">
      <c r="A228">
        <v>227</v>
      </c>
      <c r="B228" t="s">
        <v>1080</v>
      </c>
      <c r="C228" s="2" t="s">
        <v>629</v>
      </c>
      <c r="D228" s="2" t="s">
        <v>1433</v>
      </c>
      <c r="E228" t="s">
        <v>1115</v>
      </c>
      <c r="F228" t="s">
        <v>1115</v>
      </c>
      <c r="G228" t="s">
        <v>1115</v>
      </c>
      <c r="I228" t="str">
        <f t="shared" si="3"/>
        <v>INSERT INTO T_Dim_J VALUES ('227', 'M', 'Glenn', 'NGOSSO', 'NULL', 'NULL', 'NULL');</v>
      </c>
    </row>
    <row r="229" spans="1:9" x14ac:dyDescent="0.35">
      <c r="A229">
        <v>228</v>
      </c>
      <c r="B229" t="s">
        <v>1080</v>
      </c>
      <c r="C229" s="2" t="s">
        <v>617</v>
      </c>
      <c r="D229" s="2" t="s">
        <v>1434</v>
      </c>
      <c r="E229" t="s">
        <v>1115</v>
      </c>
      <c r="F229" t="s">
        <v>1115</v>
      </c>
      <c r="G229" t="s">
        <v>1115</v>
      </c>
      <c r="I229" t="str">
        <f t="shared" si="3"/>
        <v>INSERT INTO T_Dim_J VALUES ('228', 'M', 'Moïse', 'SAHI DION', 'NULL', 'NULL', 'NULL');</v>
      </c>
    </row>
    <row r="230" spans="1:9" x14ac:dyDescent="0.35">
      <c r="A230">
        <v>229</v>
      </c>
      <c r="B230" t="s">
        <v>1080</v>
      </c>
      <c r="C230" s="2" t="s">
        <v>615</v>
      </c>
      <c r="D230" s="2" t="s">
        <v>1435</v>
      </c>
      <c r="E230" t="s">
        <v>1115</v>
      </c>
      <c r="F230" t="s">
        <v>1115</v>
      </c>
      <c r="G230" t="s">
        <v>1115</v>
      </c>
      <c r="I230" t="str">
        <f t="shared" si="3"/>
        <v>INSERT INTO T_Dim_J VALUES ('229', 'M', 'Tiago', 'SANTOS', 'NULL', 'NULL', 'NULL');</v>
      </c>
    </row>
    <row r="231" spans="1:9" x14ac:dyDescent="0.35">
      <c r="A231">
        <v>230</v>
      </c>
      <c r="B231" t="s">
        <v>1080</v>
      </c>
      <c r="C231" s="2" t="s">
        <v>602</v>
      </c>
      <c r="D231" s="2" t="s">
        <v>1436</v>
      </c>
      <c r="E231" t="s">
        <v>1115</v>
      </c>
      <c r="F231" t="s">
        <v>1115</v>
      </c>
      <c r="G231" t="s">
        <v>1115</v>
      </c>
      <c r="I231" t="str">
        <f t="shared" si="3"/>
        <v>INSERT INTO T_Dim_J VALUES ('230', 'M', 'Gianluca', 'SCAMACCA', 'NULL', 'NULL', 'NULL');</v>
      </c>
    </row>
    <row r="232" spans="1:9" x14ac:dyDescent="0.35">
      <c r="A232">
        <v>231</v>
      </c>
      <c r="B232" t="s">
        <v>1080</v>
      </c>
      <c r="C232" s="2" t="s">
        <v>620</v>
      </c>
      <c r="D232" s="2" t="s">
        <v>1437</v>
      </c>
      <c r="E232" t="s">
        <v>1115</v>
      </c>
      <c r="F232" t="s">
        <v>1115</v>
      </c>
      <c r="G232" t="s">
        <v>1115</v>
      </c>
      <c r="I232" t="str">
        <f t="shared" si="3"/>
        <v>INSERT INTO T_Dim_J VALUES ('231', 'M', 'Abdoulaye', 'TOURÉ', 'NULL', 'NULL', 'NULL');</v>
      </c>
    </row>
    <row r="233" spans="1:9" x14ac:dyDescent="0.35">
      <c r="A233">
        <v>232</v>
      </c>
      <c r="B233" t="s">
        <v>1080</v>
      </c>
      <c r="C233" s="2" t="s">
        <v>156</v>
      </c>
      <c r="D233" s="2" t="s">
        <v>1438</v>
      </c>
      <c r="E233" t="s">
        <v>1115</v>
      </c>
      <c r="F233" t="s">
        <v>1115</v>
      </c>
      <c r="G233" t="s">
        <v>1115</v>
      </c>
      <c r="I233" t="str">
        <f t="shared" si="3"/>
        <v>INSERT INTO T_Dim_J VALUES ('232', 'M', 'Samuel', 'UMTITI', 'NULL', 'NULL', 'NULL');</v>
      </c>
    </row>
    <row r="234" spans="1:9" x14ac:dyDescent="0.35">
      <c r="A234">
        <v>233</v>
      </c>
      <c r="B234" t="s">
        <v>1080</v>
      </c>
      <c r="C234" s="2" t="s">
        <v>610</v>
      </c>
      <c r="D234" s="2" t="s">
        <v>1439</v>
      </c>
      <c r="E234" t="s">
        <v>1115</v>
      </c>
      <c r="F234" t="s">
        <v>1115</v>
      </c>
      <c r="G234" t="s">
        <v>1115</v>
      </c>
      <c r="I234" t="str">
        <f t="shared" si="3"/>
        <v>INSERT INTO T_Dim_J VALUES ('233', 'M', 'Duván', 'ZAPATA', 'NULL', 'NULL', 'NULL');</v>
      </c>
    </row>
  </sheetData>
  <sortState xmlns:xlrd2="http://schemas.microsoft.com/office/spreadsheetml/2017/richdata2" ref="A2:G234">
    <sortCondition ref="B2:B234"/>
    <sortCondition ref="G2:G234"/>
    <sortCondition ref="D2:D234"/>
    <sortCondition ref="C2:C2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2CC9-A867-4C41-9525-A1F88204F798}">
  <dimension ref="A1:D54"/>
  <sheetViews>
    <sheetView workbookViewId="0">
      <selection activeCell="O11" sqref="O11"/>
    </sheetView>
  </sheetViews>
  <sheetFormatPr baseColWidth="10" defaultRowHeight="14.5" x14ac:dyDescent="0.35"/>
  <cols>
    <col min="1" max="1" width="28" bestFit="1" customWidth="1"/>
    <col min="2" max="4" width="12.36328125" customWidth="1"/>
  </cols>
  <sheetData>
    <row r="1" spans="1:4" x14ac:dyDescent="0.35">
      <c r="A1" t="s">
        <v>1444</v>
      </c>
    </row>
    <row r="2" spans="1:4" x14ac:dyDescent="0.35">
      <c r="A2" s="33" t="s">
        <v>1076</v>
      </c>
      <c r="B2" s="4" t="s">
        <v>1446</v>
      </c>
    </row>
    <row r="3" spans="1:4" x14ac:dyDescent="0.35">
      <c r="A3" s="34" t="s">
        <v>1221</v>
      </c>
      <c r="B3" s="4">
        <v>30</v>
      </c>
    </row>
    <row r="4" spans="1:4" x14ac:dyDescent="0.35">
      <c r="A4" s="34" t="s">
        <v>1080</v>
      </c>
      <c r="B4" s="4">
        <v>203</v>
      </c>
    </row>
    <row r="5" spans="1:4" x14ac:dyDescent="0.35">
      <c r="A5" s="34" t="s">
        <v>1443</v>
      </c>
      <c r="B5" s="4">
        <v>233</v>
      </c>
    </row>
    <row r="8" spans="1:4" x14ac:dyDescent="0.35">
      <c r="A8" t="s">
        <v>1445</v>
      </c>
    </row>
    <row r="9" spans="1:4" x14ac:dyDescent="0.35">
      <c r="A9" s="33" t="s">
        <v>1446</v>
      </c>
      <c r="B9" s="33" t="s">
        <v>1076</v>
      </c>
      <c r="C9" s="4"/>
      <c r="D9" s="4"/>
    </row>
    <row r="10" spans="1:4" x14ac:dyDescent="0.35">
      <c r="A10" s="33" t="s">
        <v>971</v>
      </c>
      <c r="B10" s="4" t="s">
        <v>1221</v>
      </c>
      <c r="C10" s="4" t="s">
        <v>1080</v>
      </c>
      <c r="D10" s="4" t="s">
        <v>1443</v>
      </c>
    </row>
    <row r="11" spans="1:4" x14ac:dyDescent="0.35">
      <c r="A11" s="34" t="s">
        <v>1359</v>
      </c>
      <c r="B11" s="4"/>
      <c r="C11" s="4">
        <v>1</v>
      </c>
      <c r="D11" s="4">
        <v>1</v>
      </c>
    </row>
    <row r="12" spans="1:4" x14ac:dyDescent="0.35">
      <c r="A12" s="34" t="s">
        <v>529</v>
      </c>
      <c r="B12" s="4"/>
      <c r="C12" s="4">
        <v>11</v>
      </c>
      <c r="D12" s="4">
        <v>11</v>
      </c>
    </row>
    <row r="13" spans="1:4" x14ac:dyDescent="0.35">
      <c r="A13" s="34" t="s">
        <v>1124</v>
      </c>
      <c r="B13" s="4">
        <v>1</v>
      </c>
      <c r="C13" s="4"/>
      <c r="D13" s="4">
        <v>1</v>
      </c>
    </row>
    <row r="14" spans="1:4" x14ac:dyDescent="0.35">
      <c r="A14" s="34" t="s">
        <v>1360</v>
      </c>
      <c r="B14" s="4"/>
      <c r="C14" s="4">
        <v>1</v>
      </c>
      <c r="D14" s="4">
        <v>1</v>
      </c>
    </row>
    <row r="15" spans="1:4" x14ac:dyDescent="0.35">
      <c r="A15" s="34" t="s">
        <v>530</v>
      </c>
      <c r="B15" s="4"/>
      <c r="C15" s="4">
        <v>4</v>
      </c>
      <c r="D15" s="4">
        <v>4</v>
      </c>
    </row>
    <row r="16" spans="1:4" x14ac:dyDescent="0.35">
      <c r="A16" s="34" t="s">
        <v>531</v>
      </c>
      <c r="B16" s="4">
        <v>1</v>
      </c>
      <c r="C16" s="4">
        <v>16</v>
      </c>
      <c r="D16" s="4">
        <v>17</v>
      </c>
    </row>
    <row r="17" spans="1:4" x14ac:dyDescent="0.35">
      <c r="A17" s="34" t="s">
        <v>532</v>
      </c>
      <c r="B17" s="4"/>
      <c r="C17" s="4">
        <v>2</v>
      </c>
      <c r="D17" s="4">
        <v>2</v>
      </c>
    </row>
    <row r="18" spans="1:4" x14ac:dyDescent="0.35">
      <c r="A18" s="34" t="s">
        <v>1125</v>
      </c>
      <c r="B18" s="4">
        <v>2</v>
      </c>
      <c r="C18" s="4">
        <v>1</v>
      </c>
      <c r="D18" s="4">
        <v>3</v>
      </c>
    </row>
    <row r="19" spans="1:4" x14ac:dyDescent="0.35">
      <c r="A19" s="34" t="s">
        <v>1362</v>
      </c>
      <c r="B19" s="4"/>
      <c r="C19" s="4">
        <v>1</v>
      </c>
      <c r="D19" s="4">
        <v>1</v>
      </c>
    </row>
    <row r="20" spans="1:4" x14ac:dyDescent="0.35">
      <c r="A20" s="34" t="s">
        <v>534</v>
      </c>
      <c r="B20" s="4"/>
      <c r="C20" s="4">
        <v>3</v>
      </c>
      <c r="D20" s="4">
        <v>3</v>
      </c>
    </row>
    <row r="21" spans="1:4" x14ac:dyDescent="0.35">
      <c r="A21" s="34" t="s">
        <v>1107</v>
      </c>
      <c r="B21" s="4">
        <v>1</v>
      </c>
      <c r="C21" s="4">
        <v>2</v>
      </c>
      <c r="D21" s="4">
        <v>3</v>
      </c>
    </row>
    <row r="22" spans="1:4" x14ac:dyDescent="0.35">
      <c r="A22" s="34" t="s">
        <v>1366</v>
      </c>
      <c r="B22" s="4"/>
      <c r="C22" s="4">
        <v>1</v>
      </c>
      <c r="D22" s="4">
        <v>1</v>
      </c>
    </row>
    <row r="23" spans="1:4" x14ac:dyDescent="0.35">
      <c r="A23" s="34" t="s">
        <v>1365</v>
      </c>
      <c r="B23" s="4"/>
      <c r="C23" s="4">
        <v>1</v>
      </c>
      <c r="D23" s="4">
        <v>1</v>
      </c>
    </row>
    <row r="24" spans="1:4" x14ac:dyDescent="0.35">
      <c r="A24" s="34" t="s">
        <v>528</v>
      </c>
      <c r="B24" s="4">
        <v>4</v>
      </c>
      <c r="C24" s="4">
        <v>14</v>
      </c>
      <c r="D24" s="4">
        <v>18</v>
      </c>
    </row>
    <row r="25" spans="1:4" x14ac:dyDescent="0.35">
      <c r="A25" s="34" t="s">
        <v>535</v>
      </c>
      <c r="B25" s="4">
        <v>4</v>
      </c>
      <c r="C25" s="4">
        <v>18</v>
      </c>
      <c r="D25" s="4">
        <v>22</v>
      </c>
    </row>
    <row r="26" spans="1:4" x14ac:dyDescent="0.35">
      <c r="A26" s="34" t="s">
        <v>1368</v>
      </c>
      <c r="B26" s="4"/>
      <c r="C26" s="4">
        <v>1</v>
      </c>
      <c r="D26" s="4">
        <v>1</v>
      </c>
    </row>
    <row r="27" spans="1:4" x14ac:dyDescent="0.35">
      <c r="A27" s="34" t="s">
        <v>527</v>
      </c>
      <c r="B27" s="4">
        <v>1</v>
      </c>
      <c r="C27" s="4">
        <v>15</v>
      </c>
      <c r="D27" s="4">
        <v>16</v>
      </c>
    </row>
    <row r="28" spans="1:4" x14ac:dyDescent="0.35">
      <c r="A28" s="34" t="s">
        <v>1369</v>
      </c>
      <c r="B28" s="4"/>
      <c r="C28" s="4">
        <v>1</v>
      </c>
      <c r="D28" s="4">
        <v>1</v>
      </c>
    </row>
    <row r="29" spans="1:4" x14ac:dyDescent="0.35">
      <c r="A29" s="34" t="s">
        <v>1370</v>
      </c>
      <c r="B29" s="4"/>
      <c r="C29" s="4">
        <v>1</v>
      </c>
      <c r="D29" s="4">
        <v>1</v>
      </c>
    </row>
    <row r="30" spans="1:4" x14ac:dyDescent="0.35">
      <c r="A30" s="34" t="s">
        <v>536</v>
      </c>
      <c r="B30" s="4"/>
      <c r="C30" s="4">
        <v>15</v>
      </c>
      <c r="D30" s="4">
        <v>15</v>
      </c>
    </row>
    <row r="31" spans="1:4" x14ac:dyDescent="0.35">
      <c r="A31" s="34" t="s">
        <v>1363</v>
      </c>
      <c r="B31" s="4"/>
      <c r="C31" s="4">
        <v>2</v>
      </c>
      <c r="D31" s="4">
        <v>2</v>
      </c>
    </row>
    <row r="32" spans="1:4" x14ac:dyDescent="0.35">
      <c r="A32" s="34" t="s">
        <v>1127</v>
      </c>
      <c r="B32" s="4">
        <v>1</v>
      </c>
      <c r="C32" s="4"/>
      <c r="D32" s="4">
        <v>1</v>
      </c>
    </row>
    <row r="33" spans="1:4" x14ac:dyDescent="0.35">
      <c r="A33" s="34" t="s">
        <v>537</v>
      </c>
      <c r="B33" s="4"/>
      <c r="C33" s="4">
        <v>1</v>
      </c>
      <c r="D33" s="4">
        <v>1</v>
      </c>
    </row>
    <row r="34" spans="1:4" x14ac:dyDescent="0.35">
      <c r="A34" s="34" t="s">
        <v>1371</v>
      </c>
      <c r="B34" s="4"/>
      <c r="C34" s="4">
        <v>2</v>
      </c>
      <c r="D34" s="4">
        <v>2</v>
      </c>
    </row>
    <row r="35" spans="1:4" x14ac:dyDescent="0.35">
      <c r="A35" s="34" t="s">
        <v>1105</v>
      </c>
      <c r="B35" s="4">
        <v>2</v>
      </c>
      <c r="C35" s="4">
        <v>8</v>
      </c>
      <c r="D35" s="4">
        <v>10</v>
      </c>
    </row>
    <row r="36" spans="1:4" x14ac:dyDescent="0.35">
      <c r="A36" s="34" t="s">
        <v>1129</v>
      </c>
      <c r="B36" s="4">
        <v>1</v>
      </c>
      <c r="C36" s="4">
        <v>1</v>
      </c>
      <c r="D36" s="4">
        <v>2</v>
      </c>
    </row>
    <row r="37" spans="1:4" x14ac:dyDescent="0.35">
      <c r="A37" s="34" t="s">
        <v>1126</v>
      </c>
      <c r="B37" s="4">
        <v>1</v>
      </c>
      <c r="C37" s="4">
        <v>1</v>
      </c>
      <c r="D37" s="4">
        <v>2</v>
      </c>
    </row>
    <row r="38" spans="1:4" x14ac:dyDescent="0.35">
      <c r="A38" s="34" t="s">
        <v>1115</v>
      </c>
      <c r="B38" s="4"/>
      <c r="C38" s="4">
        <v>31</v>
      </c>
      <c r="D38" s="4">
        <v>31</v>
      </c>
    </row>
    <row r="39" spans="1:4" x14ac:dyDescent="0.35">
      <c r="A39" s="34" t="s">
        <v>538</v>
      </c>
      <c r="B39" s="4"/>
      <c r="C39" s="4">
        <v>2</v>
      </c>
      <c r="D39" s="4">
        <v>2</v>
      </c>
    </row>
    <row r="40" spans="1:4" x14ac:dyDescent="0.35">
      <c r="A40" s="34" t="s">
        <v>1086</v>
      </c>
      <c r="B40" s="4"/>
      <c r="C40" s="4">
        <v>9</v>
      </c>
      <c r="D40" s="4">
        <v>9</v>
      </c>
    </row>
    <row r="41" spans="1:4" x14ac:dyDescent="0.35">
      <c r="A41" s="34" t="s">
        <v>1111</v>
      </c>
      <c r="B41" s="4"/>
      <c r="C41" s="4">
        <v>1</v>
      </c>
      <c r="D41" s="4">
        <v>1</v>
      </c>
    </row>
    <row r="42" spans="1:4" x14ac:dyDescent="0.35">
      <c r="A42" s="34" t="s">
        <v>1364</v>
      </c>
      <c r="B42" s="4"/>
      <c r="C42" s="4">
        <v>1</v>
      </c>
      <c r="D42" s="4">
        <v>1</v>
      </c>
    </row>
    <row r="43" spans="1:4" x14ac:dyDescent="0.35">
      <c r="A43" s="34" t="s">
        <v>1372</v>
      </c>
      <c r="B43" s="4"/>
      <c r="C43" s="4">
        <v>3</v>
      </c>
      <c r="D43" s="4">
        <v>3</v>
      </c>
    </row>
    <row r="44" spans="1:4" x14ac:dyDescent="0.35">
      <c r="A44" s="34" t="s">
        <v>539</v>
      </c>
      <c r="B44" s="4"/>
      <c r="C44" s="4">
        <v>1</v>
      </c>
      <c r="D44" s="4">
        <v>1</v>
      </c>
    </row>
    <row r="45" spans="1:4" x14ac:dyDescent="0.35">
      <c r="A45" s="34" t="s">
        <v>1361</v>
      </c>
      <c r="B45" s="4">
        <v>1</v>
      </c>
      <c r="C45" s="4">
        <v>1</v>
      </c>
      <c r="D45" s="4">
        <v>2</v>
      </c>
    </row>
    <row r="46" spans="1:4" x14ac:dyDescent="0.35">
      <c r="A46" s="34" t="s">
        <v>1106</v>
      </c>
      <c r="B46" s="4">
        <v>3</v>
      </c>
      <c r="C46" s="4">
        <v>19</v>
      </c>
      <c r="D46" s="4">
        <v>22</v>
      </c>
    </row>
    <row r="47" spans="1:4" x14ac:dyDescent="0.35">
      <c r="A47" s="34" t="s">
        <v>1373</v>
      </c>
      <c r="B47" s="4"/>
      <c r="C47" s="4">
        <v>2</v>
      </c>
      <c r="D47" s="4">
        <v>2</v>
      </c>
    </row>
    <row r="48" spans="1:4" x14ac:dyDescent="0.35">
      <c r="A48" s="34" t="s">
        <v>540</v>
      </c>
      <c r="B48" s="4"/>
      <c r="C48" s="4">
        <v>1</v>
      </c>
      <c r="D48" s="4">
        <v>1</v>
      </c>
    </row>
    <row r="49" spans="1:4" x14ac:dyDescent="0.35">
      <c r="A49" s="34" t="s">
        <v>541</v>
      </c>
      <c r="B49" s="4"/>
      <c r="C49" s="4">
        <v>2</v>
      </c>
      <c r="D49" s="4">
        <v>2</v>
      </c>
    </row>
    <row r="50" spans="1:4" x14ac:dyDescent="0.35">
      <c r="A50" s="34" t="s">
        <v>1367</v>
      </c>
      <c r="B50" s="4"/>
      <c r="C50" s="4">
        <v>1</v>
      </c>
      <c r="D50" s="4">
        <v>1</v>
      </c>
    </row>
    <row r="51" spans="1:4" x14ac:dyDescent="0.35">
      <c r="A51" s="34" t="s">
        <v>1442</v>
      </c>
      <c r="B51" s="4">
        <v>7</v>
      </c>
      <c r="C51" s="4"/>
      <c r="D51" s="4">
        <v>7</v>
      </c>
    </row>
    <row r="52" spans="1:4" x14ac:dyDescent="0.35">
      <c r="A52" s="34" t="s">
        <v>1374</v>
      </c>
      <c r="B52" s="4"/>
      <c r="C52" s="4">
        <v>4</v>
      </c>
      <c r="D52" s="4">
        <v>4</v>
      </c>
    </row>
    <row r="53" spans="1:4" x14ac:dyDescent="0.35">
      <c r="A53" s="34" t="s">
        <v>1375</v>
      </c>
      <c r="B53" s="4"/>
      <c r="C53" s="4">
        <v>1</v>
      </c>
      <c r="D53" s="4">
        <v>1</v>
      </c>
    </row>
    <row r="54" spans="1:4" x14ac:dyDescent="0.35">
      <c r="A54" s="34" t="s">
        <v>1443</v>
      </c>
      <c r="B54" s="4">
        <v>30</v>
      </c>
      <c r="C54" s="4">
        <v>203</v>
      </c>
      <c r="D54" s="4">
        <v>233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B657-EA79-4D99-8298-B931092B4667}">
  <dimension ref="A1:M31"/>
  <sheetViews>
    <sheetView workbookViewId="0">
      <selection activeCell="E16" sqref="E16"/>
    </sheetView>
  </sheetViews>
  <sheetFormatPr baseColWidth="10" defaultRowHeight="14.5" x14ac:dyDescent="0.35"/>
  <cols>
    <col min="1" max="1" width="26.26953125" customWidth="1"/>
    <col min="2" max="2" width="16" customWidth="1"/>
    <col min="3" max="3" width="12.81640625" customWidth="1"/>
    <col min="10" max="10" width="19.1796875" customWidth="1"/>
    <col min="11" max="11" width="17.90625" customWidth="1"/>
    <col min="13" max="13" width="17.453125" customWidth="1"/>
  </cols>
  <sheetData>
    <row r="1" spans="1:13" x14ac:dyDescent="0.35">
      <c r="A1" s="18" t="s">
        <v>907</v>
      </c>
      <c r="B1" s="18" t="s">
        <v>1402</v>
      </c>
      <c r="C1" s="18" t="s">
        <v>1403</v>
      </c>
      <c r="H1" s="17"/>
      <c r="J1" s="18" t="s">
        <v>907</v>
      </c>
    </row>
    <row r="2" spans="1:13" x14ac:dyDescent="0.35">
      <c r="A2" t="s">
        <v>912</v>
      </c>
      <c r="B2" t="s">
        <v>1130</v>
      </c>
      <c r="C2" t="s">
        <v>1131</v>
      </c>
      <c r="H2" s="17"/>
      <c r="J2" t="s">
        <v>1130</v>
      </c>
      <c r="K2" t="s">
        <v>1131</v>
      </c>
      <c r="L2" t="str">
        <f>PROPER(J2)</f>
        <v>Alex</v>
      </c>
      <c r="M2" t="str">
        <f>UPPER(K2)</f>
        <v>MORGAN</v>
      </c>
    </row>
    <row r="3" spans="1:13" x14ac:dyDescent="0.35">
      <c r="A3" t="s">
        <v>916</v>
      </c>
      <c r="B3" t="s">
        <v>1132</v>
      </c>
      <c r="C3" t="s">
        <v>1133</v>
      </c>
      <c r="H3" s="17"/>
      <c r="J3" t="s">
        <v>1132</v>
      </c>
      <c r="K3" t="s">
        <v>1133</v>
      </c>
      <c r="L3" t="str">
        <f t="shared" ref="L3:L31" si="0">PROPER(J3)</f>
        <v>Megan</v>
      </c>
      <c r="M3" t="str">
        <f t="shared" ref="M3:M31" si="1">UPPER(K3)</f>
        <v>RAPINOE</v>
      </c>
    </row>
    <row r="4" spans="1:13" x14ac:dyDescent="0.35">
      <c r="A4" t="s">
        <v>919</v>
      </c>
      <c r="B4" t="s">
        <v>1134</v>
      </c>
      <c r="C4" t="s">
        <v>1135</v>
      </c>
      <c r="H4" s="17"/>
      <c r="J4" t="s">
        <v>1134</v>
      </c>
      <c r="K4" t="s">
        <v>1135</v>
      </c>
      <c r="L4" t="str">
        <f t="shared" si="0"/>
        <v>Sam</v>
      </c>
      <c r="M4" t="str">
        <f t="shared" si="1"/>
        <v>KERR</v>
      </c>
    </row>
    <row r="5" spans="1:13" x14ac:dyDescent="0.35">
      <c r="A5" t="s">
        <v>922</v>
      </c>
      <c r="B5" t="s">
        <v>1136</v>
      </c>
      <c r="C5" t="s">
        <v>1137</v>
      </c>
      <c r="H5" s="17"/>
      <c r="J5" t="s">
        <v>1136</v>
      </c>
      <c r="K5" t="s">
        <v>1137</v>
      </c>
      <c r="L5" t="str">
        <f t="shared" si="0"/>
        <v>Lucy</v>
      </c>
      <c r="M5" t="str">
        <f t="shared" si="1"/>
        <v>BRONZE</v>
      </c>
    </row>
    <row r="6" spans="1:13" x14ac:dyDescent="0.35">
      <c r="A6" t="s">
        <v>925</v>
      </c>
      <c r="B6" t="s">
        <v>1138</v>
      </c>
      <c r="C6" t="s">
        <v>1139</v>
      </c>
      <c r="H6" s="17"/>
      <c r="J6" t="s">
        <v>1138</v>
      </c>
      <c r="K6" t="s">
        <v>1139</v>
      </c>
      <c r="L6" t="str">
        <f t="shared" si="0"/>
        <v>Amandine</v>
      </c>
      <c r="M6" t="str">
        <f t="shared" si="1"/>
        <v>HENRY</v>
      </c>
    </row>
    <row r="7" spans="1:13" x14ac:dyDescent="0.35">
      <c r="A7" s="29" t="s">
        <v>928</v>
      </c>
      <c r="B7" s="19" t="s">
        <v>1140</v>
      </c>
      <c r="C7" s="19" t="s">
        <v>1141</v>
      </c>
      <c r="D7" s="19" t="s">
        <v>1142</v>
      </c>
      <c r="E7" s="19" t="s">
        <v>65</v>
      </c>
      <c r="F7" s="19"/>
      <c r="H7" s="17"/>
      <c r="J7" t="s">
        <v>1140</v>
      </c>
      <c r="K7" t="s">
        <v>1190</v>
      </c>
      <c r="L7" t="str">
        <f t="shared" si="0"/>
        <v>Marta</v>
      </c>
      <c r="M7" t="str">
        <f t="shared" si="1"/>
        <v>VIEIRA-DA-SILVA</v>
      </c>
    </row>
    <row r="8" spans="1:13" x14ac:dyDescent="0.35">
      <c r="A8" t="s">
        <v>930</v>
      </c>
      <c r="B8" t="s">
        <v>1143</v>
      </c>
      <c r="C8" t="s">
        <v>1144</v>
      </c>
      <c r="H8" s="17"/>
      <c r="J8" t="s">
        <v>1143</v>
      </c>
      <c r="K8" t="s">
        <v>1144</v>
      </c>
      <c r="L8" t="str">
        <f t="shared" si="0"/>
        <v>Christine</v>
      </c>
      <c r="M8" t="str">
        <f t="shared" si="1"/>
        <v>SINCLAIR</v>
      </c>
    </row>
    <row r="9" spans="1:13" x14ac:dyDescent="0.35">
      <c r="A9" t="s">
        <v>932</v>
      </c>
      <c r="B9" t="s">
        <v>1145</v>
      </c>
      <c r="C9" t="s">
        <v>1146</v>
      </c>
      <c r="H9" s="17"/>
      <c r="J9" t="s">
        <v>1145</v>
      </c>
      <c r="K9" t="s">
        <v>1146</v>
      </c>
      <c r="L9" t="str">
        <f t="shared" si="0"/>
        <v>Vivianne</v>
      </c>
      <c r="M9" t="str">
        <f t="shared" si="1"/>
        <v>MIEDEMA</v>
      </c>
    </row>
    <row r="10" spans="1:13" x14ac:dyDescent="0.35">
      <c r="A10" t="s">
        <v>935</v>
      </c>
      <c r="B10" t="s">
        <v>1147</v>
      </c>
      <c r="C10" t="s">
        <v>1148</v>
      </c>
      <c r="H10" s="17"/>
      <c r="J10" t="s">
        <v>1147</v>
      </c>
      <c r="K10" t="s">
        <v>1148</v>
      </c>
      <c r="L10" t="str">
        <f t="shared" si="0"/>
        <v>Fran</v>
      </c>
      <c r="M10" t="str">
        <f t="shared" si="1"/>
        <v>KIRBY</v>
      </c>
    </row>
    <row r="11" spans="1:13" x14ac:dyDescent="0.35">
      <c r="A11" t="s">
        <v>936</v>
      </c>
      <c r="B11" t="s">
        <v>1149</v>
      </c>
      <c r="C11" t="s">
        <v>1150</v>
      </c>
      <c r="H11" s="17"/>
      <c r="J11" t="s">
        <v>1149</v>
      </c>
      <c r="K11" t="s">
        <v>1150</v>
      </c>
      <c r="L11" t="str">
        <f t="shared" si="0"/>
        <v>Ada</v>
      </c>
      <c r="M11" t="str">
        <f t="shared" si="1"/>
        <v>HEGERBERG</v>
      </c>
    </row>
    <row r="12" spans="1:13" x14ac:dyDescent="0.35">
      <c r="A12" t="s">
        <v>938</v>
      </c>
      <c r="B12" t="s">
        <v>1151</v>
      </c>
      <c r="C12" t="s">
        <v>1152</v>
      </c>
      <c r="H12" s="17"/>
      <c r="J12" t="s">
        <v>1151</v>
      </c>
      <c r="K12" t="s">
        <v>1152</v>
      </c>
      <c r="L12" t="str">
        <f t="shared" si="0"/>
        <v>Dzsenifer</v>
      </c>
      <c r="M12" t="str">
        <f t="shared" si="1"/>
        <v>MAROZSÁN</v>
      </c>
    </row>
    <row r="13" spans="1:13" x14ac:dyDescent="0.35">
      <c r="A13" t="s">
        <v>939</v>
      </c>
      <c r="B13" t="s">
        <v>1153</v>
      </c>
      <c r="C13" t="s">
        <v>1154</v>
      </c>
      <c r="H13" s="17"/>
      <c r="J13" t="s">
        <v>1153</v>
      </c>
      <c r="K13" t="s">
        <v>1154</v>
      </c>
      <c r="L13" t="str">
        <f t="shared" si="0"/>
        <v>Wendie</v>
      </c>
      <c r="M13" t="str">
        <f t="shared" si="1"/>
        <v>RENARD</v>
      </c>
    </row>
    <row r="14" spans="1:13" x14ac:dyDescent="0.35">
      <c r="A14" t="s">
        <v>940</v>
      </c>
      <c r="B14" t="s">
        <v>1155</v>
      </c>
      <c r="C14" t="s">
        <v>1156</v>
      </c>
      <c r="H14" s="17"/>
      <c r="J14" t="s">
        <v>1155</v>
      </c>
      <c r="K14" t="s">
        <v>1156</v>
      </c>
      <c r="L14" t="str">
        <f t="shared" si="0"/>
        <v>Julie</v>
      </c>
      <c r="M14" t="str">
        <f t="shared" si="1"/>
        <v>ERTZ</v>
      </c>
    </row>
    <row r="15" spans="1:13" x14ac:dyDescent="0.35">
      <c r="A15" t="s">
        <v>942</v>
      </c>
      <c r="B15" t="s">
        <v>1157</v>
      </c>
      <c r="C15" t="s">
        <v>1158</v>
      </c>
      <c r="H15" s="17"/>
      <c r="J15" t="s">
        <v>1157</v>
      </c>
      <c r="K15" t="s">
        <v>1158</v>
      </c>
      <c r="L15" t="str">
        <f t="shared" si="0"/>
        <v>Carli</v>
      </c>
      <c r="M15" t="str">
        <f t="shared" si="1"/>
        <v>LLOYD</v>
      </c>
    </row>
    <row r="16" spans="1:13" x14ac:dyDescent="0.35">
      <c r="A16" t="s">
        <v>944</v>
      </c>
      <c r="B16" t="s">
        <v>1159</v>
      </c>
      <c r="C16" t="s">
        <v>1160</v>
      </c>
      <c r="H16" s="17"/>
      <c r="J16" t="s">
        <v>1159</v>
      </c>
      <c r="K16" t="s">
        <v>1160</v>
      </c>
      <c r="L16" t="str">
        <f t="shared" si="0"/>
        <v>Tobin</v>
      </c>
      <c r="M16" t="str">
        <f t="shared" si="1"/>
        <v>HEATH</v>
      </c>
    </row>
    <row r="17" spans="1:13" x14ac:dyDescent="0.35">
      <c r="A17" t="s">
        <v>946</v>
      </c>
      <c r="B17" t="s">
        <v>1161</v>
      </c>
      <c r="C17" t="s">
        <v>1162</v>
      </c>
      <c r="H17" s="17"/>
      <c r="J17" t="s">
        <v>1161</v>
      </c>
      <c r="K17" t="s">
        <v>1162</v>
      </c>
      <c r="L17" t="str">
        <f t="shared" si="0"/>
        <v>Rose</v>
      </c>
      <c r="M17" t="str">
        <f t="shared" si="1"/>
        <v>LAVELLE</v>
      </c>
    </row>
    <row r="18" spans="1:13" x14ac:dyDescent="0.35">
      <c r="A18" t="s">
        <v>947</v>
      </c>
      <c r="B18" t="s">
        <v>1163</v>
      </c>
      <c r="C18" t="s">
        <v>1164</v>
      </c>
      <c r="H18" s="17"/>
      <c r="J18" t="s">
        <v>1163</v>
      </c>
      <c r="K18" t="s">
        <v>1164</v>
      </c>
      <c r="L18" t="str">
        <f t="shared" si="0"/>
        <v>Pernille</v>
      </c>
      <c r="M18" t="str">
        <f t="shared" si="1"/>
        <v>HARDER</v>
      </c>
    </row>
    <row r="19" spans="1:13" x14ac:dyDescent="0.35">
      <c r="A19" t="s">
        <v>950</v>
      </c>
      <c r="B19" t="s">
        <v>1165</v>
      </c>
      <c r="C19" t="s">
        <v>1166</v>
      </c>
      <c r="H19" s="17"/>
      <c r="J19" t="s">
        <v>1165</v>
      </c>
      <c r="K19" t="s">
        <v>1166</v>
      </c>
      <c r="L19" t="str">
        <f t="shared" si="0"/>
        <v>Lieke</v>
      </c>
      <c r="M19" t="str">
        <f t="shared" si="1"/>
        <v>MARTENS</v>
      </c>
    </row>
    <row r="20" spans="1:13" x14ac:dyDescent="0.35">
      <c r="A20" t="s">
        <v>951</v>
      </c>
      <c r="B20" t="s">
        <v>1167</v>
      </c>
      <c r="C20" t="s">
        <v>1168</v>
      </c>
      <c r="H20" s="17"/>
      <c r="J20" t="s">
        <v>1167</v>
      </c>
      <c r="K20" t="s">
        <v>1168</v>
      </c>
      <c r="L20" t="str">
        <f t="shared" si="0"/>
        <v>Saki</v>
      </c>
      <c r="M20" t="str">
        <f t="shared" si="1"/>
        <v>KUMAGAI</v>
      </c>
    </row>
    <row r="21" spans="1:13" x14ac:dyDescent="0.35">
      <c r="A21" t="s">
        <v>953</v>
      </c>
      <c r="B21" t="s">
        <v>1169</v>
      </c>
      <c r="C21" t="s">
        <v>1170</v>
      </c>
      <c r="H21" s="17"/>
      <c r="J21" t="s">
        <v>1169</v>
      </c>
      <c r="K21" t="s">
        <v>1170</v>
      </c>
      <c r="L21" t="str">
        <f t="shared" si="0"/>
        <v>Ji</v>
      </c>
      <c r="M21" t="str">
        <f t="shared" si="1"/>
        <v>SO-YUN</v>
      </c>
    </row>
    <row r="22" spans="1:13" x14ac:dyDescent="0.35">
      <c r="A22" t="s">
        <v>955</v>
      </c>
      <c r="B22" t="s">
        <v>1171</v>
      </c>
      <c r="C22" t="s">
        <v>1172</v>
      </c>
      <c r="H22" s="17"/>
      <c r="J22" t="s">
        <v>1171</v>
      </c>
      <c r="K22" t="s">
        <v>1172</v>
      </c>
      <c r="L22" t="str">
        <f t="shared" si="0"/>
        <v>Kadeisha</v>
      </c>
      <c r="M22" t="str">
        <f t="shared" si="1"/>
        <v>BUCHANAN</v>
      </c>
    </row>
    <row r="23" spans="1:13" x14ac:dyDescent="0.35">
      <c r="A23" t="s">
        <v>956</v>
      </c>
      <c r="B23" t="s">
        <v>1173</v>
      </c>
      <c r="C23" t="s">
        <v>1174</v>
      </c>
      <c r="H23" s="17"/>
      <c r="J23" t="s">
        <v>1173</v>
      </c>
      <c r="K23" t="s">
        <v>1174</v>
      </c>
      <c r="L23" t="str">
        <f t="shared" si="0"/>
        <v>Alexia</v>
      </c>
      <c r="M23" t="str">
        <f t="shared" si="1"/>
        <v>PUTELLAS</v>
      </c>
    </row>
    <row r="24" spans="1:13" x14ac:dyDescent="0.35">
      <c r="A24" t="s">
        <v>958</v>
      </c>
      <c r="B24" t="s">
        <v>1175</v>
      </c>
      <c r="C24" t="s">
        <v>1176</v>
      </c>
      <c r="H24" s="17"/>
      <c r="J24" t="s">
        <v>1175</v>
      </c>
      <c r="K24" t="s">
        <v>1176</v>
      </c>
      <c r="L24" t="str">
        <f t="shared" si="0"/>
        <v>Irene</v>
      </c>
      <c r="M24" t="str">
        <f t="shared" si="1"/>
        <v>PAREDES</v>
      </c>
    </row>
    <row r="25" spans="1:13" x14ac:dyDescent="0.35">
      <c r="A25" t="s">
        <v>959</v>
      </c>
      <c r="B25" t="s">
        <v>1177</v>
      </c>
      <c r="C25" t="s">
        <v>1178</v>
      </c>
      <c r="H25" s="17"/>
      <c r="J25" t="s">
        <v>1177</v>
      </c>
      <c r="K25" t="s">
        <v>1178</v>
      </c>
      <c r="L25" t="str">
        <f t="shared" si="0"/>
        <v>Patri</v>
      </c>
      <c r="M25" t="str">
        <f t="shared" si="1"/>
        <v>GUIJARRO</v>
      </c>
    </row>
    <row r="26" spans="1:13" x14ac:dyDescent="0.35">
      <c r="A26" s="30" t="s">
        <v>960</v>
      </c>
      <c r="B26" s="19" t="s">
        <v>1179</v>
      </c>
      <c r="C26" s="19" t="s">
        <v>1180</v>
      </c>
      <c r="D26" s="19"/>
      <c r="E26" s="19"/>
      <c r="F26" s="19"/>
      <c r="H26" s="17"/>
      <c r="J26" t="s">
        <v>1179</v>
      </c>
      <c r="K26" t="s">
        <v>1180</v>
      </c>
      <c r="L26" t="str">
        <f t="shared" si="0"/>
        <v>Marie-Antoinette</v>
      </c>
      <c r="M26" t="str">
        <f t="shared" si="1"/>
        <v>KATOTO</v>
      </c>
    </row>
    <row r="27" spans="1:13" x14ac:dyDescent="0.35">
      <c r="A27" t="s">
        <v>962</v>
      </c>
      <c r="B27" t="s">
        <v>1181</v>
      </c>
      <c r="C27" t="s">
        <v>1182</v>
      </c>
      <c r="H27" s="17"/>
      <c r="J27" t="s">
        <v>1181</v>
      </c>
      <c r="K27" t="s">
        <v>1182</v>
      </c>
      <c r="L27" t="str">
        <f t="shared" si="0"/>
        <v>Delphine</v>
      </c>
      <c r="M27" t="str">
        <f t="shared" si="1"/>
        <v>CASCARINO</v>
      </c>
    </row>
    <row r="28" spans="1:13" x14ac:dyDescent="0.35">
      <c r="A28" t="s">
        <v>963</v>
      </c>
      <c r="B28" t="s">
        <v>1183</v>
      </c>
      <c r="C28" t="s">
        <v>1184</v>
      </c>
      <c r="H28" s="17"/>
      <c r="J28" t="s">
        <v>1183</v>
      </c>
      <c r="K28" t="s">
        <v>1184</v>
      </c>
      <c r="L28" t="str">
        <f t="shared" si="0"/>
        <v>Asisat</v>
      </c>
      <c r="M28" t="str">
        <f t="shared" si="1"/>
        <v>OSHOALA</v>
      </c>
    </row>
    <row r="29" spans="1:13" x14ac:dyDescent="0.35">
      <c r="A29" t="s">
        <v>964</v>
      </c>
      <c r="B29" t="s">
        <v>1134</v>
      </c>
      <c r="C29" t="s">
        <v>1185</v>
      </c>
      <c r="H29" s="17"/>
      <c r="J29" t="s">
        <v>1134</v>
      </c>
      <c r="K29" t="s">
        <v>1185</v>
      </c>
      <c r="L29" t="str">
        <f t="shared" si="0"/>
        <v>Sam</v>
      </c>
      <c r="M29" t="str">
        <f t="shared" si="1"/>
        <v>MEWIS</v>
      </c>
    </row>
    <row r="30" spans="1:13" x14ac:dyDescent="0.35">
      <c r="A30" t="s">
        <v>966</v>
      </c>
      <c r="B30" t="s">
        <v>1186</v>
      </c>
      <c r="C30" t="s">
        <v>1187</v>
      </c>
      <c r="H30" s="17"/>
      <c r="J30" t="s">
        <v>1186</v>
      </c>
      <c r="K30" t="s">
        <v>1187</v>
      </c>
      <c r="L30" t="str">
        <f t="shared" si="0"/>
        <v>Beth</v>
      </c>
      <c r="M30" t="str">
        <f t="shared" si="1"/>
        <v>MEAD</v>
      </c>
    </row>
    <row r="31" spans="1:13" x14ac:dyDescent="0.35">
      <c r="A31" t="s">
        <v>967</v>
      </c>
      <c r="B31" t="s">
        <v>1188</v>
      </c>
      <c r="C31" t="s">
        <v>1189</v>
      </c>
      <c r="J31" t="s">
        <v>1188</v>
      </c>
      <c r="K31" t="s">
        <v>1189</v>
      </c>
      <c r="L31" t="str">
        <f t="shared" si="0"/>
        <v>Leah</v>
      </c>
      <c r="M31" t="str">
        <f t="shared" si="1"/>
        <v>WILLIAMSON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E2CA-433A-48B6-876B-50E7D1F65A47}">
  <dimension ref="A1:AF179"/>
  <sheetViews>
    <sheetView zoomScale="115" zoomScaleNormal="115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2" max="2" width="15.7265625" customWidth="1"/>
    <col min="3" max="3" width="14.7265625" customWidth="1"/>
    <col min="4" max="4" width="13.08984375" customWidth="1"/>
    <col min="5" max="5" width="13.453125" customWidth="1"/>
    <col min="6" max="6" width="15.453125" bestFit="1" customWidth="1"/>
    <col min="7" max="9" width="9.6328125" customWidth="1"/>
    <col min="10" max="10" width="39.26953125" customWidth="1"/>
    <col min="11" max="16" width="15.453125" customWidth="1"/>
    <col min="17" max="17" width="16.1796875" customWidth="1"/>
  </cols>
  <sheetData>
    <row r="1" spans="1:32" x14ac:dyDescent="0.35">
      <c r="A1" s="1" t="s">
        <v>330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J1" s="11" t="s">
        <v>691</v>
      </c>
      <c r="K1" s="12" t="s">
        <v>711</v>
      </c>
      <c r="L1" s="12" t="s">
        <v>683</v>
      </c>
      <c r="M1" s="13" t="s">
        <v>684</v>
      </c>
      <c r="N1" s="13" t="s">
        <v>685</v>
      </c>
      <c r="O1" s="13" t="s">
        <v>686</v>
      </c>
      <c r="P1" s="13" t="s">
        <v>687</v>
      </c>
      <c r="Q1" s="13" t="s">
        <v>688</v>
      </c>
      <c r="S1" s="36" t="s">
        <v>1405</v>
      </c>
      <c r="T1" s="9">
        <f>MAX(T2:T157)</f>
        <v>10</v>
      </c>
      <c r="U1" s="9">
        <f t="shared" ref="U1:Y1" si="0">MAX(U2:U157)</f>
        <v>16</v>
      </c>
      <c r="V1" s="9">
        <f t="shared" si="0"/>
        <v>11</v>
      </c>
      <c r="W1" s="9">
        <f t="shared" si="0"/>
        <v>9</v>
      </c>
      <c r="X1" s="9">
        <f t="shared" si="0"/>
        <v>14</v>
      </c>
      <c r="Y1" s="9">
        <f t="shared" si="0"/>
        <v>4</v>
      </c>
      <c r="Z1" t="s">
        <v>706</v>
      </c>
    </row>
    <row r="2" spans="1:32" x14ac:dyDescent="0.35">
      <c r="A2" t="s">
        <v>331</v>
      </c>
      <c r="B2" t="s">
        <v>198</v>
      </c>
      <c r="C2" t="s">
        <v>199</v>
      </c>
      <c r="D2" t="s">
        <v>25</v>
      </c>
      <c r="E2" t="s">
        <v>200</v>
      </c>
      <c r="F2">
        <v>1991</v>
      </c>
      <c r="J2" s="11" t="s">
        <v>690</v>
      </c>
      <c r="K2" s="10" t="s">
        <v>712</v>
      </c>
      <c r="L2" s="10" t="s">
        <v>330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S2" s="26"/>
      <c r="T2">
        <f t="shared" ref="T2:T33" si="1">LEN(A2)</f>
        <v>10</v>
      </c>
      <c r="U2">
        <f t="shared" ref="U2:U33" si="2">LEN(B2)</f>
        <v>6</v>
      </c>
      <c r="V2">
        <f t="shared" ref="V2:V33" si="3">LEN(C2)</f>
        <v>5</v>
      </c>
      <c r="W2">
        <f t="shared" ref="W2:W33" si="4">LEN(D2)</f>
        <v>6</v>
      </c>
      <c r="X2">
        <f t="shared" ref="X2:X33" si="5">LEN(E2)</f>
        <v>7</v>
      </c>
      <c r="Y2">
        <f t="shared" ref="Y2:Y33" si="6">LEN(F2)</f>
        <v>4</v>
      </c>
      <c r="Z2">
        <f>MIN($F$2:$F$157)</f>
        <v>1978</v>
      </c>
    </row>
    <row r="3" spans="1:32" x14ac:dyDescent="0.35">
      <c r="A3" t="s">
        <v>332</v>
      </c>
      <c r="B3" t="s">
        <v>66</v>
      </c>
      <c r="C3" t="s">
        <v>67</v>
      </c>
      <c r="D3" t="s">
        <v>42</v>
      </c>
      <c r="E3" t="s">
        <v>50</v>
      </c>
      <c r="F3">
        <v>1986</v>
      </c>
      <c r="J3" s="38" t="s">
        <v>689</v>
      </c>
      <c r="K3" s="10" t="s">
        <v>713</v>
      </c>
      <c r="L3" s="10" t="s">
        <v>692</v>
      </c>
      <c r="M3" s="10" t="s">
        <v>692</v>
      </c>
      <c r="N3" s="10" t="s">
        <v>692</v>
      </c>
      <c r="O3" s="10" t="s">
        <v>692</v>
      </c>
      <c r="P3" s="10" t="s">
        <v>692</v>
      </c>
      <c r="Q3" s="10" t="s">
        <v>693</v>
      </c>
      <c r="S3" s="37" t="str">
        <f t="shared" ref="S3:S34" si="7">CONCATENATE("INSERT INTO Tab1_Joueurs VALUES ('",A2,$S$1,B2,$S$1,C2,$S$1,D2,$S$1,E2,$S$1,F2,"');")</f>
        <v>INSERT INTO Tab1_Joueurs VALUES ('1991AlgMah', 'Mahrez', 'Riyad', 'Milieu', 'Algérie', '1991');</v>
      </c>
      <c r="T3">
        <f t="shared" si="1"/>
        <v>10</v>
      </c>
      <c r="U3">
        <f t="shared" si="2"/>
        <v>5</v>
      </c>
      <c r="V3">
        <f t="shared" si="3"/>
        <v>6</v>
      </c>
      <c r="W3">
        <f t="shared" si="4"/>
        <v>7</v>
      </c>
      <c r="X3">
        <f t="shared" si="5"/>
        <v>9</v>
      </c>
      <c r="Y3">
        <f t="shared" si="6"/>
        <v>4</v>
      </c>
      <c r="Z3" t="s">
        <v>707</v>
      </c>
    </row>
    <row r="4" spans="1:32" x14ac:dyDescent="0.35">
      <c r="A4" t="s">
        <v>333</v>
      </c>
      <c r="B4" t="s">
        <v>60</v>
      </c>
      <c r="C4" t="s">
        <v>61</v>
      </c>
      <c r="D4" t="s">
        <v>25</v>
      </c>
      <c r="E4" t="s">
        <v>50</v>
      </c>
      <c r="F4">
        <v>1989</v>
      </c>
      <c r="J4" s="11" t="s">
        <v>695</v>
      </c>
      <c r="K4" s="10" t="s">
        <v>713</v>
      </c>
      <c r="L4" s="10">
        <v>10</v>
      </c>
      <c r="M4" s="10">
        <v>16</v>
      </c>
      <c r="N4" s="10">
        <v>11</v>
      </c>
      <c r="O4" s="10">
        <v>9</v>
      </c>
      <c r="P4" s="10">
        <v>14</v>
      </c>
      <c r="Q4" s="10">
        <v>4</v>
      </c>
      <c r="S4" s="37" t="str">
        <f t="shared" si="7"/>
        <v>INSERT INTO Tab1_Joueurs VALUES ('1986AllNeu', 'Neuer', 'Manuel', 'Gardien', 'Allemagne', '1986');</v>
      </c>
      <c r="T4">
        <f t="shared" si="1"/>
        <v>10</v>
      </c>
      <c r="U4">
        <f t="shared" si="2"/>
        <v>6</v>
      </c>
      <c r="V4">
        <f t="shared" si="3"/>
        <v>6</v>
      </c>
      <c r="W4">
        <f t="shared" si="4"/>
        <v>6</v>
      </c>
      <c r="X4">
        <f t="shared" si="5"/>
        <v>9</v>
      </c>
      <c r="Y4">
        <f t="shared" si="6"/>
        <v>4</v>
      </c>
      <c r="Z4">
        <f>MAX($F$2:$F$157)</f>
        <v>2008</v>
      </c>
    </row>
    <row r="5" spans="1:32" x14ac:dyDescent="0.35">
      <c r="A5" t="s">
        <v>334</v>
      </c>
      <c r="B5" t="s">
        <v>75</v>
      </c>
      <c r="C5" t="s">
        <v>76</v>
      </c>
      <c r="D5" t="s">
        <v>25</v>
      </c>
      <c r="E5" t="s">
        <v>50</v>
      </c>
      <c r="F5">
        <v>1989</v>
      </c>
      <c r="J5" s="38" t="s">
        <v>694</v>
      </c>
      <c r="K5" s="10" t="s">
        <v>713</v>
      </c>
      <c r="L5" s="10" t="s">
        <v>879</v>
      </c>
      <c r="M5" s="10" t="s">
        <v>696</v>
      </c>
      <c r="N5" s="10" t="s">
        <v>696</v>
      </c>
      <c r="O5" s="10" t="s">
        <v>696</v>
      </c>
      <c r="P5" s="10" t="s">
        <v>696</v>
      </c>
      <c r="Q5" s="10" t="s">
        <v>697</v>
      </c>
      <c r="S5" s="37" t="str">
        <f t="shared" si="7"/>
        <v>INSERT INTO Tab1_Joueurs VALUES ('1989AllMül', 'Müller', 'Thomas', 'Milieu', 'Allemagne', '1989');</v>
      </c>
      <c r="T5">
        <f t="shared" si="1"/>
        <v>10</v>
      </c>
      <c r="U5">
        <f t="shared" si="2"/>
        <v>4</v>
      </c>
      <c r="V5">
        <f t="shared" si="3"/>
        <v>5</v>
      </c>
      <c r="W5">
        <f t="shared" si="4"/>
        <v>6</v>
      </c>
      <c r="X5">
        <f t="shared" si="5"/>
        <v>9</v>
      </c>
      <c r="Y5">
        <f t="shared" si="6"/>
        <v>4</v>
      </c>
      <c r="Z5" t="s">
        <v>709</v>
      </c>
    </row>
    <row r="6" spans="1:32" x14ac:dyDescent="0.35">
      <c r="A6" t="s">
        <v>335</v>
      </c>
      <c r="B6" t="s">
        <v>175</v>
      </c>
      <c r="C6" t="s">
        <v>176</v>
      </c>
      <c r="D6" t="s">
        <v>7</v>
      </c>
      <c r="E6" t="s">
        <v>50</v>
      </c>
      <c r="F6">
        <v>1989</v>
      </c>
      <c r="J6" s="11" t="s">
        <v>700</v>
      </c>
      <c r="K6" s="10" t="s">
        <v>713</v>
      </c>
      <c r="L6" s="10"/>
      <c r="M6" s="10" t="s">
        <v>703</v>
      </c>
      <c r="N6" s="10" t="s">
        <v>703</v>
      </c>
      <c r="O6" s="10" t="s">
        <v>701</v>
      </c>
      <c r="P6" s="10" t="s">
        <v>701</v>
      </c>
      <c r="Q6" s="10"/>
      <c r="S6" s="37" t="str">
        <f t="shared" si="7"/>
        <v>INSERT INTO Tab1_Joueurs VALUES ('1989AllÖzi', 'Özil', 'Mesut', 'Milieu', 'Allemagne', '1989');</v>
      </c>
      <c r="T6">
        <f t="shared" si="1"/>
        <v>10</v>
      </c>
      <c r="U6">
        <f t="shared" si="2"/>
        <v>4</v>
      </c>
      <c r="V6">
        <f t="shared" si="3"/>
        <v>5</v>
      </c>
      <c r="W6">
        <f t="shared" si="4"/>
        <v>9</v>
      </c>
      <c r="X6">
        <f t="shared" si="5"/>
        <v>9</v>
      </c>
      <c r="Y6">
        <f t="shared" si="6"/>
        <v>4</v>
      </c>
      <c r="Z6">
        <f>AVERAGE($F$2:$F$157)</f>
        <v>1995.4871794871794</v>
      </c>
    </row>
    <row r="7" spans="1:32" x14ac:dyDescent="0.35">
      <c r="A7" t="s">
        <v>336</v>
      </c>
      <c r="B7" t="s">
        <v>173</v>
      </c>
      <c r="C7" t="s">
        <v>174</v>
      </c>
      <c r="D7" t="s">
        <v>25</v>
      </c>
      <c r="E7" t="s">
        <v>50</v>
      </c>
      <c r="F7">
        <v>1990</v>
      </c>
      <c r="J7" s="11" t="s">
        <v>880</v>
      </c>
      <c r="K7" s="10" t="s">
        <v>713</v>
      </c>
      <c r="L7" s="10" t="s">
        <v>881</v>
      </c>
      <c r="M7" s="10" t="s">
        <v>882</v>
      </c>
      <c r="N7" s="10" t="s">
        <v>882</v>
      </c>
      <c r="O7" s="10" t="s">
        <v>882</v>
      </c>
      <c r="P7" s="10" t="s">
        <v>882</v>
      </c>
      <c r="Q7" s="10" t="s">
        <v>882</v>
      </c>
      <c r="S7" s="37" t="str">
        <f t="shared" si="7"/>
        <v>INSERT INTO Tab1_Joueurs VALUES ('1989AllReu', 'Reus', 'Marco', 'Attaquant', 'Allemagne', '1989');</v>
      </c>
      <c r="T7">
        <f t="shared" si="1"/>
        <v>10</v>
      </c>
      <c r="U7">
        <f t="shared" si="2"/>
        <v>5</v>
      </c>
      <c r="V7">
        <f t="shared" si="3"/>
        <v>4</v>
      </c>
      <c r="W7">
        <f t="shared" si="4"/>
        <v>6</v>
      </c>
      <c r="X7">
        <f t="shared" si="5"/>
        <v>9</v>
      </c>
      <c r="Y7">
        <f t="shared" si="6"/>
        <v>4</v>
      </c>
    </row>
    <row r="8" spans="1:32" x14ac:dyDescent="0.35">
      <c r="A8" t="s">
        <v>337</v>
      </c>
      <c r="B8" t="s">
        <v>91</v>
      </c>
      <c r="C8" t="s">
        <v>92</v>
      </c>
      <c r="D8" t="s">
        <v>25</v>
      </c>
      <c r="E8" t="s">
        <v>50</v>
      </c>
      <c r="F8">
        <v>1991</v>
      </c>
      <c r="J8" s="11" t="s">
        <v>715</v>
      </c>
      <c r="K8" s="10" t="s">
        <v>713</v>
      </c>
      <c r="L8" s="10">
        <v>156</v>
      </c>
      <c r="M8" s="10">
        <v>156</v>
      </c>
      <c r="N8" s="10">
        <v>156</v>
      </c>
      <c r="O8" s="10">
        <v>156</v>
      </c>
      <c r="P8" s="10">
        <v>156</v>
      </c>
      <c r="Q8" s="10">
        <v>156</v>
      </c>
      <c r="S8" s="37" t="str">
        <f t="shared" si="7"/>
        <v>INSERT INTO Tab1_Joueurs VALUES ('1990AllKro', 'Kroos', 'Toni', 'Milieu', 'Allemagne', '1990');</v>
      </c>
      <c r="T8">
        <f t="shared" si="1"/>
        <v>10</v>
      </c>
      <c r="U8">
        <f t="shared" si="2"/>
        <v>8</v>
      </c>
      <c r="V8">
        <f t="shared" si="3"/>
        <v>5</v>
      </c>
      <c r="W8">
        <f t="shared" si="4"/>
        <v>6</v>
      </c>
      <c r="X8">
        <f t="shared" si="5"/>
        <v>9</v>
      </c>
      <c r="Y8">
        <f t="shared" si="6"/>
        <v>4</v>
      </c>
      <c r="Z8" t="s">
        <v>710</v>
      </c>
      <c r="AA8">
        <f>COUNTA(A$2:A$157)</f>
        <v>156</v>
      </c>
      <c r="AB8">
        <f>COUNTA(B$2:B$157)</f>
        <v>156</v>
      </c>
      <c r="AC8">
        <f t="shared" ref="AC8:AE8" si="8">COUNTA(C$2:C$157)</f>
        <v>156</v>
      </c>
      <c r="AD8">
        <f t="shared" si="8"/>
        <v>156</v>
      </c>
      <c r="AE8">
        <f t="shared" si="8"/>
        <v>156</v>
      </c>
      <c r="AF8">
        <f>COUNTA(F$2:F$157)</f>
        <v>156</v>
      </c>
    </row>
    <row r="9" spans="1:32" x14ac:dyDescent="0.35">
      <c r="A9" t="s">
        <v>338</v>
      </c>
      <c r="B9" s="26" t="s">
        <v>303</v>
      </c>
      <c r="C9" t="s">
        <v>304</v>
      </c>
      <c r="D9" t="s">
        <v>42</v>
      </c>
      <c r="E9" t="s">
        <v>50</v>
      </c>
      <c r="F9">
        <v>1993</v>
      </c>
      <c r="J9" s="11" t="s">
        <v>714</v>
      </c>
      <c r="K9" s="10" t="s">
        <v>713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S9" s="37" t="str">
        <f t="shared" si="7"/>
        <v>INSERT INTO Tab1_Joueurs VALUES ('1991AllGün', 'Gündoğan', 'Ilkay', 'Milieu', 'Allemagne', '1991');</v>
      </c>
      <c r="T9">
        <f t="shared" si="1"/>
        <v>10</v>
      </c>
      <c r="U9">
        <f t="shared" si="2"/>
        <v>10</v>
      </c>
      <c r="V9">
        <f t="shared" si="3"/>
        <v>10</v>
      </c>
      <c r="W9">
        <f t="shared" si="4"/>
        <v>7</v>
      </c>
      <c r="X9">
        <f t="shared" si="5"/>
        <v>9</v>
      </c>
      <c r="Y9">
        <f t="shared" si="6"/>
        <v>4</v>
      </c>
    </row>
    <row r="10" spans="1:32" x14ac:dyDescent="0.35">
      <c r="A10" t="s">
        <v>339</v>
      </c>
      <c r="B10" t="s">
        <v>48</v>
      </c>
      <c r="C10" t="s">
        <v>49</v>
      </c>
      <c r="D10" t="s">
        <v>25</v>
      </c>
      <c r="E10" t="s">
        <v>50</v>
      </c>
      <c r="F10">
        <v>1995</v>
      </c>
      <c r="J10" s="11" t="s">
        <v>1398</v>
      </c>
      <c r="K10" s="10" t="s">
        <v>713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S10" s="37" t="str">
        <f t="shared" si="7"/>
        <v>INSERT INTO Tab1_Joueurs VALUES ('1993AllTer', 'Ter Stegen', 'Marc-André', 'Gardien', 'Allemagne', '1993');</v>
      </c>
      <c r="T10">
        <f t="shared" si="1"/>
        <v>10</v>
      </c>
      <c r="U10">
        <f t="shared" si="2"/>
        <v>7</v>
      </c>
      <c r="V10">
        <f t="shared" si="3"/>
        <v>6</v>
      </c>
      <c r="W10">
        <f t="shared" si="4"/>
        <v>6</v>
      </c>
      <c r="X10">
        <f t="shared" si="5"/>
        <v>9</v>
      </c>
      <c r="Y10">
        <f t="shared" si="6"/>
        <v>4</v>
      </c>
    </row>
    <row r="11" spans="1:32" x14ac:dyDescent="0.35">
      <c r="A11" t="s">
        <v>340</v>
      </c>
      <c r="B11" t="s">
        <v>97</v>
      </c>
      <c r="C11" t="s">
        <v>98</v>
      </c>
      <c r="D11" t="s">
        <v>7</v>
      </c>
      <c r="E11" t="s">
        <v>50</v>
      </c>
      <c r="F11">
        <v>1996</v>
      </c>
      <c r="J11" s="11" t="s">
        <v>1399</v>
      </c>
      <c r="K11" s="10" t="s">
        <v>713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S11" s="37" t="str">
        <f t="shared" si="7"/>
        <v>INSERT INTO Tab1_Joueurs VALUES ('1995AllKim', 'Kimmich', 'Joshua', 'Milieu', 'Allemagne', '1995');</v>
      </c>
      <c r="T11">
        <f t="shared" si="1"/>
        <v>10</v>
      </c>
      <c r="U11">
        <f t="shared" si="2"/>
        <v>4</v>
      </c>
      <c r="V11">
        <f t="shared" si="3"/>
        <v>5</v>
      </c>
      <c r="W11">
        <f t="shared" si="4"/>
        <v>9</v>
      </c>
      <c r="X11">
        <f t="shared" si="5"/>
        <v>9</v>
      </c>
      <c r="Y11">
        <f t="shared" si="6"/>
        <v>4</v>
      </c>
    </row>
    <row r="12" spans="1:32" x14ac:dyDescent="0.35">
      <c r="A12" t="s">
        <v>341</v>
      </c>
      <c r="B12" t="s">
        <v>99</v>
      </c>
      <c r="C12" t="s">
        <v>100</v>
      </c>
      <c r="D12" t="s">
        <v>7</v>
      </c>
      <c r="E12" t="s">
        <v>50</v>
      </c>
      <c r="F12">
        <v>1997</v>
      </c>
      <c r="J12" s="11" t="s">
        <v>1400</v>
      </c>
      <c r="K12" s="10" t="s">
        <v>713</v>
      </c>
      <c r="L12" s="10">
        <v>156</v>
      </c>
      <c r="M12" s="10">
        <v>156</v>
      </c>
      <c r="N12" s="10">
        <v>156</v>
      </c>
      <c r="O12" s="10">
        <v>156</v>
      </c>
      <c r="P12" s="10">
        <v>156</v>
      </c>
      <c r="Q12" s="10">
        <v>0</v>
      </c>
      <c r="S12" s="37" t="str">
        <f t="shared" si="7"/>
        <v>INSERT INTO Tab1_Joueurs VALUES ('1996AllSan', 'Sané', 'Leroy', 'Attaquant', 'Allemagne', '1996');</v>
      </c>
      <c r="T12">
        <f t="shared" si="1"/>
        <v>10</v>
      </c>
      <c r="U12">
        <f t="shared" si="2"/>
        <v>6</v>
      </c>
      <c r="V12">
        <f t="shared" si="3"/>
        <v>5</v>
      </c>
      <c r="W12">
        <f t="shared" si="4"/>
        <v>9</v>
      </c>
      <c r="X12">
        <f t="shared" si="5"/>
        <v>9</v>
      </c>
      <c r="Y12">
        <f t="shared" si="6"/>
        <v>4</v>
      </c>
    </row>
    <row r="13" spans="1:32" x14ac:dyDescent="0.35">
      <c r="A13" t="s">
        <v>342</v>
      </c>
      <c r="B13" t="s">
        <v>230</v>
      </c>
      <c r="C13" t="s">
        <v>231</v>
      </c>
      <c r="D13" t="s">
        <v>25</v>
      </c>
      <c r="E13" t="s">
        <v>50</v>
      </c>
      <c r="F13">
        <v>2003</v>
      </c>
      <c r="J13" s="11" t="s">
        <v>1401</v>
      </c>
      <c r="K13" s="10" t="s">
        <v>713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S13" s="37" t="str">
        <f t="shared" si="7"/>
        <v>INSERT INTO Tab1_Joueurs VALUES ('1997AllGna', 'Gnabry', 'Serge', 'Attaquant', 'Allemagne', '1997');</v>
      </c>
      <c r="T13">
        <f t="shared" si="1"/>
        <v>10</v>
      </c>
      <c r="U13">
        <f t="shared" si="2"/>
        <v>5</v>
      </c>
      <c r="V13">
        <f t="shared" si="3"/>
        <v>7</v>
      </c>
      <c r="W13">
        <f t="shared" si="4"/>
        <v>6</v>
      </c>
      <c r="X13">
        <f t="shared" si="5"/>
        <v>9</v>
      </c>
      <c r="Y13">
        <f t="shared" si="6"/>
        <v>4</v>
      </c>
    </row>
    <row r="14" spans="1:32" x14ac:dyDescent="0.35">
      <c r="A14" t="s">
        <v>343</v>
      </c>
      <c r="B14" t="s">
        <v>228</v>
      </c>
      <c r="C14" t="s">
        <v>229</v>
      </c>
      <c r="D14" t="s">
        <v>25</v>
      </c>
      <c r="E14" t="s">
        <v>50</v>
      </c>
      <c r="F14">
        <v>2004</v>
      </c>
      <c r="J14" s="38" t="s">
        <v>698</v>
      </c>
      <c r="K14" s="10" t="s">
        <v>713</v>
      </c>
      <c r="L14" s="10" t="s">
        <v>702</v>
      </c>
      <c r="M14" s="10" t="s">
        <v>702</v>
      </c>
      <c r="N14" s="10" t="s">
        <v>702</v>
      </c>
      <c r="O14" s="10" t="s">
        <v>702</v>
      </c>
      <c r="P14" s="10" t="s">
        <v>702</v>
      </c>
      <c r="Q14" s="10" t="s">
        <v>699</v>
      </c>
      <c r="S14" s="37" t="str">
        <f t="shared" si="7"/>
        <v>INSERT INTO Tab1_Joueurs VALUES ('2003AllWir', 'Wirtz', 'Florian', 'Milieu', 'Allemagne', '2003');</v>
      </c>
      <c r="T14">
        <f t="shared" si="1"/>
        <v>10</v>
      </c>
      <c r="U14">
        <f t="shared" si="2"/>
        <v>7</v>
      </c>
      <c r="V14">
        <f t="shared" si="3"/>
        <v>5</v>
      </c>
      <c r="W14">
        <f t="shared" si="4"/>
        <v>6</v>
      </c>
      <c r="X14">
        <f t="shared" si="5"/>
        <v>9</v>
      </c>
      <c r="Y14">
        <f t="shared" si="6"/>
        <v>4</v>
      </c>
    </row>
    <row r="15" spans="1:32" x14ac:dyDescent="0.35">
      <c r="A15" t="s">
        <v>344</v>
      </c>
      <c r="B15" t="s">
        <v>276</v>
      </c>
      <c r="C15" t="s">
        <v>277</v>
      </c>
      <c r="D15" t="s">
        <v>7</v>
      </c>
      <c r="E15" t="s">
        <v>50</v>
      </c>
      <c r="F15">
        <v>2005</v>
      </c>
      <c r="J15" s="11" t="s">
        <v>716</v>
      </c>
      <c r="K15" s="10" t="s">
        <v>713</v>
      </c>
      <c r="L15" s="10"/>
      <c r="M15" s="10"/>
      <c r="N15" s="10"/>
      <c r="O15" s="10"/>
      <c r="P15" s="10"/>
      <c r="Q15" s="10">
        <v>0</v>
      </c>
      <c r="S15" s="37" t="str">
        <f t="shared" si="7"/>
        <v>INSERT INTO Tab1_Joueurs VALUES ('2004AllMus', 'Musiala', 'Jamal', 'Milieu', 'Allemagne', '2004');</v>
      </c>
      <c r="T15">
        <f t="shared" si="1"/>
        <v>10</v>
      </c>
      <c r="U15">
        <f t="shared" si="2"/>
        <v>7</v>
      </c>
      <c r="V15">
        <f t="shared" si="3"/>
        <v>9</v>
      </c>
      <c r="W15">
        <f t="shared" si="4"/>
        <v>9</v>
      </c>
      <c r="X15">
        <f t="shared" si="5"/>
        <v>9</v>
      </c>
      <c r="Y15">
        <f t="shared" si="6"/>
        <v>4</v>
      </c>
    </row>
    <row r="16" spans="1:32" x14ac:dyDescent="0.35">
      <c r="A16" t="s">
        <v>345</v>
      </c>
      <c r="B16" t="s">
        <v>171</v>
      </c>
      <c r="C16" t="s">
        <v>172</v>
      </c>
      <c r="D16" t="s">
        <v>25</v>
      </c>
      <c r="E16" t="s">
        <v>72</v>
      </c>
      <c r="F16">
        <v>1978</v>
      </c>
      <c r="J16" s="11" t="s">
        <v>717</v>
      </c>
      <c r="K16" s="10" t="s">
        <v>713</v>
      </c>
      <c r="L16" s="10"/>
      <c r="M16" s="10"/>
      <c r="N16" s="10"/>
      <c r="O16" s="10"/>
      <c r="P16" s="10"/>
      <c r="Q16" s="10">
        <v>0</v>
      </c>
      <c r="S16" s="37" t="str">
        <f t="shared" si="7"/>
        <v>INSERT INTO Tab1_Joueurs VALUES ('2005AllMou', 'Moukoko', 'Youssoufa', 'Attaquant', 'Allemagne', '2005');</v>
      </c>
      <c r="T16">
        <f t="shared" si="1"/>
        <v>10</v>
      </c>
      <c r="U16">
        <f t="shared" si="2"/>
        <v>7</v>
      </c>
      <c r="V16">
        <f t="shared" si="3"/>
        <v>5</v>
      </c>
      <c r="W16">
        <f t="shared" si="4"/>
        <v>6</v>
      </c>
      <c r="X16">
        <f t="shared" si="5"/>
        <v>10</v>
      </c>
      <c r="Y16">
        <f t="shared" si="6"/>
        <v>4</v>
      </c>
    </row>
    <row r="17" spans="1:25" x14ac:dyDescent="0.35">
      <c r="A17" t="s">
        <v>346</v>
      </c>
      <c r="B17" t="s">
        <v>169</v>
      </c>
      <c r="C17" t="s">
        <v>170</v>
      </c>
      <c r="D17" t="s">
        <v>25</v>
      </c>
      <c r="E17" t="s">
        <v>72</v>
      </c>
      <c r="F17">
        <v>1980</v>
      </c>
      <c r="J17" s="11" t="s">
        <v>718</v>
      </c>
      <c r="K17" s="10" t="s">
        <v>713</v>
      </c>
      <c r="L17" s="10"/>
      <c r="M17" s="10"/>
      <c r="N17" s="10"/>
      <c r="O17" s="10"/>
      <c r="P17" s="10"/>
      <c r="Q17" s="10">
        <v>0</v>
      </c>
      <c r="S17" s="37" t="str">
        <f t="shared" si="7"/>
        <v>INSERT INTO Tab1_Joueurs VALUES ('1978AngLam', 'Lampard', 'Frank', 'Milieu', 'Angleterre', '1978');</v>
      </c>
      <c r="T17">
        <f t="shared" si="1"/>
        <v>10</v>
      </c>
      <c r="U17">
        <f t="shared" si="2"/>
        <v>7</v>
      </c>
      <c r="V17">
        <f t="shared" si="3"/>
        <v>6</v>
      </c>
      <c r="W17">
        <f t="shared" si="4"/>
        <v>6</v>
      </c>
      <c r="X17">
        <f t="shared" si="5"/>
        <v>10</v>
      </c>
      <c r="Y17">
        <f t="shared" si="6"/>
        <v>4</v>
      </c>
    </row>
    <row r="18" spans="1:25" x14ac:dyDescent="0.35">
      <c r="A18" t="s">
        <v>347</v>
      </c>
      <c r="B18" t="s">
        <v>312</v>
      </c>
      <c r="C18" t="s">
        <v>313</v>
      </c>
      <c r="D18" t="s">
        <v>42</v>
      </c>
      <c r="E18" t="s">
        <v>72</v>
      </c>
      <c r="F18">
        <v>1992</v>
      </c>
      <c r="J18" s="11" t="s">
        <v>876</v>
      </c>
      <c r="K18" s="10" t="s">
        <v>713</v>
      </c>
      <c r="L18" s="10"/>
      <c r="M18" s="10"/>
      <c r="N18" s="10"/>
      <c r="O18" s="10"/>
      <c r="P18" s="10"/>
      <c r="Q18" s="10">
        <v>0</v>
      </c>
      <c r="S18" s="37" t="str">
        <f t="shared" si="7"/>
        <v>INSERT INTO Tab1_Joueurs VALUES ('1980AngGer', 'Gerrard', 'Steven', 'Milieu', 'Angleterre', '1980');</v>
      </c>
      <c r="T18">
        <f t="shared" si="1"/>
        <v>10</v>
      </c>
      <c r="U18">
        <f t="shared" si="2"/>
        <v>4</v>
      </c>
      <c r="V18">
        <f t="shared" si="3"/>
        <v>4</v>
      </c>
      <c r="W18">
        <f t="shared" si="4"/>
        <v>7</v>
      </c>
      <c r="X18">
        <f t="shared" si="5"/>
        <v>10</v>
      </c>
      <c r="Y18">
        <f t="shared" si="6"/>
        <v>4</v>
      </c>
    </row>
    <row r="19" spans="1:25" x14ac:dyDescent="0.35">
      <c r="A19" t="s">
        <v>348</v>
      </c>
      <c r="B19" t="s">
        <v>73</v>
      </c>
      <c r="C19" t="s">
        <v>74</v>
      </c>
      <c r="D19" t="s">
        <v>7</v>
      </c>
      <c r="E19" t="s">
        <v>72</v>
      </c>
      <c r="F19">
        <v>1993</v>
      </c>
      <c r="J19" s="11" t="s">
        <v>877</v>
      </c>
      <c r="K19" s="10" t="s">
        <v>713</v>
      </c>
      <c r="L19" s="10"/>
      <c r="M19" s="10"/>
      <c r="N19" s="10"/>
      <c r="O19" s="10"/>
      <c r="P19" s="10"/>
      <c r="Q19" s="10">
        <v>0</v>
      </c>
      <c r="S19" s="37" t="str">
        <f t="shared" si="7"/>
        <v>INSERT INTO Tab1_Joueurs VALUES ('1992AngPop', 'Pope', 'Nick', 'Gardien', 'Angleterre', '1992');</v>
      </c>
      <c r="T19">
        <f t="shared" si="1"/>
        <v>10</v>
      </c>
      <c r="U19">
        <f t="shared" si="2"/>
        <v>4</v>
      </c>
      <c r="V19">
        <f t="shared" si="3"/>
        <v>5</v>
      </c>
      <c r="W19">
        <f t="shared" si="4"/>
        <v>9</v>
      </c>
      <c r="X19">
        <f t="shared" si="5"/>
        <v>10</v>
      </c>
      <c r="Y19">
        <f t="shared" si="6"/>
        <v>4</v>
      </c>
    </row>
    <row r="20" spans="1:25" x14ac:dyDescent="0.35">
      <c r="A20" t="s">
        <v>349</v>
      </c>
      <c r="B20" t="s">
        <v>318</v>
      </c>
      <c r="C20" t="s">
        <v>319</v>
      </c>
      <c r="D20" t="s">
        <v>42</v>
      </c>
      <c r="E20" t="s">
        <v>72</v>
      </c>
      <c r="F20">
        <v>1994</v>
      </c>
      <c r="J20" s="11" t="s">
        <v>875</v>
      </c>
      <c r="K20" s="10" t="s">
        <v>713</v>
      </c>
      <c r="L20" s="10"/>
      <c r="M20" s="10"/>
      <c r="N20" s="10"/>
      <c r="O20" s="10"/>
      <c r="P20" s="10"/>
      <c r="Q20" s="10"/>
      <c r="S20" s="37" t="str">
        <f t="shared" si="7"/>
        <v>INSERT INTO Tab1_Joueurs VALUES ('1993AngKan', 'Kane', 'Harry', 'Attaquant', 'Angleterre', '1993');</v>
      </c>
      <c r="T20">
        <f t="shared" si="1"/>
        <v>10</v>
      </c>
      <c r="U20">
        <f t="shared" si="2"/>
        <v>8</v>
      </c>
      <c r="V20">
        <f t="shared" si="3"/>
        <v>6</v>
      </c>
      <c r="W20">
        <f t="shared" si="4"/>
        <v>7</v>
      </c>
      <c r="X20">
        <f t="shared" si="5"/>
        <v>10</v>
      </c>
      <c r="Y20">
        <f t="shared" si="6"/>
        <v>4</v>
      </c>
    </row>
    <row r="21" spans="1:25" x14ac:dyDescent="0.35">
      <c r="A21" t="s">
        <v>350</v>
      </c>
      <c r="B21" t="s">
        <v>70</v>
      </c>
      <c r="C21" t="s">
        <v>71</v>
      </c>
      <c r="D21" t="s">
        <v>7</v>
      </c>
      <c r="E21" t="s">
        <v>72</v>
      </c>
      <c r="F21">
        <v>1995</v>
      </c>
      <c r="J21" s="11" t="s">
        <v>704</v>
      </c>
      <c r="K21" s="10" t="s">
        <v>713</v>
      </c>
      <c r="L21" s="10"/>
      <c r="M21" s="10"/>
      <c r="N21" s="10"/>
      <c r="O21" s="10"/>
      <c r="P21" s="10"/>
      <c r="Q21" s="10">
        <v>1978</v>
      </c>
      <c r="S21" s="37" t="str">
        <f t="shared" si="7"/>
        <v>INSERT INTO Tab1_Joueurs VALUES ('1994AngPic', 'Pickford', 'Jordan', 'Gardien', 'Angleterre', '1994');</v>
      </c>
      <c r="T21">
        <f t="shared" si="1"/>
        <v>10</v>
      </c>
      <c r="U21">
        <f t="shared" si="2"/>
        <v>8</v>
      </c>
      <c r="V21">
        <f t="shared" si="3"/>
        <v>6</v>
      </c>
      <c r="W21">
        <f t="shared" si="4"/>
        <v>9</v>
      </c>
      <c r="X21">
        <f t="shared" si="5"/>
        <v>10</v>
      </c>
      <c r="Y21">
        <f t="shared" si="6"/>
        <v>4</v>
      </c>
    </row>
    <row r="22" spans="1:25" x14ac:dyDescent="0.35">
      <c r="A22" t="s">
        <v>351</v>
      </c>
      <c r="B22" t="s">
        <v>117</v>
      </c>
      <c r="C22" t="s">
        <v>118</v>
      </c>
      <c r="D22" t="s">
        <v>7</v>
      </c>
      <c r="E22" t="s">
        <v>72</v>
      </c>
      <c r="F22">
        <v>1997</v>
      </c>
      <c r="J22" s="11" t="s">
        <v>705</v>
      </c>
      <c r="K22" s="10" t="s">
        <v>713</v>
      </c>
      <c r="L22" s="10"/>
      <c r="M22" s="10"/>
      <c r="N22" s="10"/>
      <c r="O22" s="10"/>
      <c r="P22" s="10"/>
      <c r="Q22" s="10">
        <v>2008</v>
      </c>
      <c r="S22" s="37" t="str">
        <f t="shared" si="7"/>
        <v>INSERT INTO Tab1_Joueurs VALUES ('1995AngSte', 'Sterling', 'Raheem', 'Attaquant', 'Angleterre', '1995');</v>
      </c>
      <c r="T22">
        <f t="shared" si="1"/>
        <v>10</v>
      </c>
      <c r="U22">
        <f t="shared" si="2"/>
        <v>8</v>
      </c>
      <c r="V22">
        <f t="shared" si="3"/>
        <v>6</v>
      </c>
      <c r="W22">
        <f t="shared" si="4"/>
        <v>9</v>
      </c>
      <c r="X22">
        <f t="shared" si="5"/>
        <v>10</v>
      </c>
      <c r="Y22">
        <f t="shared" si="6"/>
        <v>4</v>
      </c>
    </row>
    <row r="23" spans="1:25" x14ac:dyDescent="0.35">
      <c r="A23" t="s">
        <v>352</v>
      </c>
      <c r="B23" s="26" t="s">
        <v>141</v>
      </c>
      <c r="C23" t="s">
        <v>142</v>
      </c>
      <c r="D23" t="s">
        <v>35</v>
      </c>
      <c r="E23" t="s">
        <v>72</v>
      </c>
      <c r="F23">
        <v>1999</v>
      </c>
      <c r="J23" s="11" t="s">
        <v>708</v>
      </c>
      <c r="K23" s="10" t="s">
        <v>713</v>
      </c>
      <c r="L23" s="10"/>
      <c r="M23" s="10"/>
      <c r="N23" s="10"/>
      <c r="O23" s="10"/>
      <c r="P23" s="10"/>
      <c r="Q23" s="10">
        <v>1995.4871800000001</v>
      </c>
      <c r="S23" s="37" t="str">
        <f t="shared" si="7"/>
        <v>INSERT INTO Tab1_Joueurs VALUES ('1997AngRas', 'Rashford', 'Marcus', 'Attaquant', 'Angleterre', '1997');</v>
      </c>
      <c r="T23">
        <f t="shared" si="1"/>
        <v>10</v>
      </c>
      <c r="U23">
        <f t="shared" si="2"/>
        <v>16</v>
      </c>
      <c r="V23">
        <f t="shared" si="3"/>
        <v>5</v>
      </c>
      <c r="W23">
        <f t="shared" si="4"/>
        <v>9</v>
      </c>
      <c r="X23">
        <f t="shared" si="5"/>
        <v>10</v>
      </c>
      <c r="Y23">
        <f t="shared" si="6"/>
        <v>4</v>
      </c>
    </row>
    <row r="24" spans="1:25" x14ac:dyDescent="0.35">
      <c r="A24" t="s">
        <v>353</v>
      </c>
      <c r="B24" t="s">
        <v>310</v>
      </c>
      <c r="C24" t="s">
        <v>311</v>
      </c>
      <c r="D24" t="s">
        <v>42</v>
      </c>
      <c r="E24" t="s">
        <v>72</v>
      </c>
      <c r="F24">
        <v>1999</v>
      </c>
      <c r="K24" s="14" t="s">
        <v>719</v>
      </c>
      <c r="L24" t="s">
        <v>331</v>
      </c>
      <c r="M24" t="s">
        <v>198</v>
      </c>
      <c r="N24" t="s">
        <v>199</v>
      </c>
      <c r="O24" t="s">
        <v>25</v>
      </c>
      <c r="P24" t="s">
        <v>200</v>
      </c>
      <c r="Q24">
        <v>1991</v>
      </c>
      <c r="S24" s="37" t="str">
        <f t="shared" si="7"/>
        <v>INSERT INTO Tab1_Joueurs VALUES ('1999AngAle', 'Alexander-Arnold', 'Trent', 'Défenseur', 'Angleterre', '1999');</v>
      </c>
      <c r="T24">
        <f t="shared" si="1"/>
        <v>10</v>
      </c>
      <c r="U24">
        <f t="shared" si="2"/>
        <v>8</v>
      </c>
      <c r="V24">
        <f t="shared" si="3"/>
        <v>5</v>
      </c>
      <c r="W24">
        <f t="shared" si="4"/>
        <v>7</v>
      </c>
      <c r="X24">
        <f t="shared" si="5"/>
        <v>10</v>
      </c>
      <c r="Y24">
        <f t="shared" si="6"/>
        <v>4</v>
      </c>
    </row>
    <row r="25" spans="1:25" x14ac:dyDescent="0.35">
      <c r="A25" t="s">
        <v>354</v>
      </c>
      <c r="B25" t="s">
        <v>80</v>
      </c>
      <c r="C25" t="s">
        <v>81</v>
      </c>
      <c r="D25" t="s">
        <v>25</v>
      </c>
      <c r="E25" t="s">
        <v>72</v>
      </c>
      <c r="F25">
        <v>2000</v>
      </c>
      <c r="K25" s="14" t="s">
        <v>720</v>
      </c>
      <c r="L25" t="s">
        <v>332</v>
      </c>
      <c r="M25" t="s">
        <v>66</v>
      </c>
      <c r="N25" t="s">
        <v>67</v>
      </c>
      <c r="O25" t="s">
        <v>42</v>
      </c>
      <c r="P25" t="s">
        <v>50</v>
      </c>
      <c r="Q25">
        <v>1986</v>
      </c>
      <c r="S25" s="37" t="str">
        <f t="shared" si="7"/>
        <v>INSERT INTO Tab1_Joueurs VALUES ('1999AngRam', 'Ramsdale', 'Aaron', 'Gardien', 'Angleterre', '1999');</v>
      </c>
      <c r="T25">
        <f t="shared" si="1"/>
        <v>10</v>
      </c>
      <c r="U25">
        <f t="shared" si="2"/>
        <v>5</v>
      </c>
      <c r="V25">
        <f t="shared" si="3"/>
        <v>4</v>
      </c>
      <c r="W25">
        <f t="shared" si="4"/>
        <v>6</v>
      </c>
      <c r="X25">
        <f t="shared" si="5"/>
        <v>10</v>
      </c>
      <c r="Y25">
        <f t="shared" si="6"/>
        <v>4</v>
      </c>
    </row>
    <row r="26" spans="1:25" x14ac:dyDescent="0.35">
      <c r="A26" t="s">
        <v>355</v>
      </c>
      <c r="B26" t="s">
        <v>119</v>
      </c>
      <c r="C26" t="s">
        <v>120</v>
      </c>
      <c r="D26" t="s">
        <v>25</v>
      </c>
      <c r="E26" t="s">
        <v>72</v>
      </c>
      <c r="F26">
        <v>2000</v>
      </c>
      <c r="K26" s="14" t="s">
        <v>721</v>
      </c>
      <c r="L26" t="s">
        <v>333</v>
      </c>
      <c r="M26" t="s">
        <v>60</v>
      </c>
      <c r="N26" t="s">
        <v>61</v>
      </c>
      <c r="O26" t="s">
        <v>25</v>
      </c>
      <c r="P26" t="s">
        <v>50</v>
      </c>
      <c r="Q26">
        <v>1989</v>
      </c>
      <c r="S26" s="37" t="str">
        <f t="shared" si="7"/>
        <v>INSERT INTO Tab1_Joueurs VALUES ('2000AngFod', 'Foden', 'Phil', 'Milieu', 'Angleterre', '2000');</v>
      </c>
      <c r="T26">
        <f t="shared" si="1"/>
        <v>10</v>
      </c>
      <c r="U26">
        <f t="shared" si="2"/>
        <v>5</v>
      </c>
      <c r="V26">
        <f t="shared" si="3"/>
        <v>5</v>
      </c>
      <c r="W26">
        <f t="shared" si="4"/>
        <v>6</v>
      </c>
      <c r="X26">
        <f t="shared" si="5"/>
        <v>10</v>
      </c>
      <c r="Y26">
        <f t="shared" si="6"/>
        <v>4</v>
      </c>
    </row>
    <row r="27" spans="1:25" x14ac:dyDescent="0.35">
      <c r="A27" t="s">
        <v>356</v>
      </c>
      <c r="B27" t="s">
        <v>111</v>
      </c>
      <c r="C27" t="s">
        <v>112</v>
      </c>
      <c r="D27" t="s">
        <v>25</v>
      </c>
      <c r="E27" t="s">
        <v>72</v>
      </c>
      <c r="F27">
        <v>2003</v>
      </c>
      <c r="K27" s="14" t="s">
        <v>722</v>
      </c>
      <c r="L27" t="s">
        <v>334</v>
      </c>
      <c r="M27" t="s">
        <v>75</v>
      </c>
      <c r="N27" t="s">
        <v>76</v>
      </c>
      <c r="O27" t="s">
        <v>25</v>
      </c>
      <c r="P27" t="s">
        <v>50</v>
      </c>
      <c r="Q27">
        <v>1989</v>
      </c>
      <c r="S27" s="37" t="str">
        <f t="shared" si="7"/>
        <v>INSERT INTO Tab1_Joueurs VALUES ('2000AngMou', 'Mount', 'Mason', 'Milieu', 'Angleterre', '2000');</v>
      </c>
      <c r="T27">
        <f t="shared" si="1"/>
        <v>10</v>
      </c>
      <c r="U27">
        <f t="shared" si="2"/>
        <v>10</v>
      </c>
      <c r="V27">
        <f t="shared" si="3"/>
        <v>4</v>
      </c>
      <c r="W27">
        <f t="shared" si="4"/>
        <v>6</v>
      </c>
      <c r="X27">
        <f t="shared" si="5"/>
        <v>10</v>
      </c>
      <c r="Y27">
        <f t="shared" si="6"/>
        <v>4</v>
      </c>
    </row>
    <row r="28" spans="1:25" x14ac:dyDescent="0.35">
      <c r="A28" t="s">
        <v>357</v>
      </c>
      <c r="B28" t="s">
        <v>290</v>
      </c>
      <c r="C28" t="s">
        <v>291</v>
      </c>
      <c r="D28" t="s">
        <v>25</v>
      </c>
      <c r="E28" t="s">
        <v>72</v>
      </c>
      <c r="F28">
        <v>2004</v>
      </c>
      <c r="K28" s="14" t="s">
        <v>723</v>
      </c>
      <c r="L28" t="s">
        <v>335</v>
      </c>
      <c r="M28" t="s">
        <v>175</v>
      </c>
      <c r="N28" t="s">
        <v>176</v>
      </c>
      <c r="O28" t="s">
        <v>7</v>
      </c>
      <c r="P28" t="s">
        <v>50</v>
      </c>
      <c r="Q28">
        <v>1989</v>
      </c>
      <c r="S28" s="37" t="str">
        <f t="shared" si="7"/>
        <v>INSERT INTO Tab1_Joueurs VALUES ('2003AngBel', 'Bellingham', 'Jude', 'Milieu', 'Angleterre', '2003');</v>
      </c>
      <c r="T28">
        <f t="shared" si="1"/>
        <v>10</v>
      </c>
      <c r="U28">
        <f t="shared" si="2"/>
        <v>11</v>
      </c>
      <c r="V28">
        <f t="shared" si="3"/>
        <v>6</v>
      </c>
      <c r="W28">
        <f t="shared" si="4"/>
        <v>6</v>
      </c>
      <c r="X28">
        <f t="shared" si="5"/>
        <v>10</v>
      </c>
      <c r="Y28">
        <f t="shared" si="6"/>
        <v>4</v>
      </c>
    </row>
    <row r="29" spans="1:25" x14ac:dyDescent="0.35">
      <c r="A29" t="s">
        <v>358</v>
      </c>
      <c r="B29" t="s">
        <v>5</v>
      </c>
      <c r="C29" t="s">
        <v>6</v>
      </c>
      <c r="D29" t="s">
        <v>7</v>
      </c>
      <c r="E29" t="s">
        <v>8</v>
      </c>
      <c r="F29">
        <v>1987</v>
      </c>
      <c r="K29" s="14" t="s">
        <v>724</v>
      </c>
      <c r="L29" t="s">
        <v>336</v>
      </c>
      <c r="M29" t="s">
        <v>173</v>
      </c>
      <c r="N29" t="s">
        <v>174</v>
      </c>
      <c r="O29" t="s">
        <v>25</v>
      </c>
      <c r="P29" t="s">
        <v>50</v>
      </c>
      <c r="Q29">
        <v>1990</v>
      </c>
      <c r="S29" s="37" t="str">
        <f t="shared" si="7"/>
        <v>INSERT INTO Tab1_Joueurs VALUES ('2004AngChu', 'Chukwuemeka', 'Carney', 'Milieu', 'Angleterre', '2004');</v>
      </c>
      <c r="T29">
        <f t="shared" si="1"/>
        <v>10</v>
      </c>
      <c r="U29">
        <f t="shared" si="2"/>
        <v>5</v>
      </c>
      <c r="V29">
        <f t="shared" si="3"/>
        <v>6</v>
      </c>
      <c r="W29">
        <f t="shared" si="4"/>
        <v>9</v>
      </c>
      <c r="X29">
        <f t="shared" si="5"/>
        <v>9</v>
      </c>
      <c r="Y29">
        <f t="shared" si="6"/>
        <v>4</v>
      </c>
    </row>
    <row r="30" spans="1:25" x14ac:dyDescent="0.35">
      <c r="A30" t="s">
        <v>359</v>
      </c>
      <c r="B30" s="26" t="s">
        <v>103</v>
      </c>
      <c r="C30" t="s">
        <v>104</v>
      </c>
      <c r="D30" t="s">
        <v>25</v>
      </c>
      <c r="E30" t="s">
        <v>8</v>
      </c>
      <c r="F30">
        <v>1988</v>
      </c>
      <c r="K30" s="14" t="s">
        <v>725</v>
      </c>
      <c r="L30" t="s">
        <v>337</v>
      </c>
      <c r="M30" t="s">
        <v>91</v>
      </c>
      <c r="N30" t="s">
        <v>92</v>
      </c>
      <c r="O30" t="s">
        <v>25</v>
      </c>
      <c r="P30" t="s">
        <v>50</v>
      </c>
      <c r="Q30">
        <v>1991</v>
      </c>
      <c r="S30" s="37" t="str">
        <f t="shared" si="7"/>
        <v>INSERT INTO Tab1_Joueurs VALUES ('1987ArgMes', 'Messi', 'Lionel', 'Attaquant', 'Argentine', '1987');</v>
      </c>
      <c r="T30">
        <f t="shared" si="1"/>
        <v>10</v>
      </c>
      <c r="U30">
        <f t="shared" si="2"/>
        <v>8</v>
      </c>
      <c r="V30">
        <f t="shared" si="3"/>
        <v>6</v>
      </c>
      <c r="W30">
        <f t="shared" si="4"/>
        <v>6</v>
      </c>
      <c r="X30">
        <f t="shared" si="5"/>
        <v>9</v>
      </c>
      <c r="Y30">
        <f t="shared" si="6"/>
        <v>4</v>
      </c>
    </row>
    <row r="31" spans="1:25" x14ac:dyDescent="0.35">
      <c r="A31" t="s">
        <v>360</v>
      </c>
      <c r="B31" t="s">
        <v>107</v>
      </c>
      <c r="C31" t="s">
        <v>323</v>
      </c>
      <c r="D31" t="s">
        <v>42</v>
      </c>
      <c r="E31" t="s">
        <v>8</v>
      </c>
      <c r="F31">
        <v>1993</v>
      </c>
      <c r="K31" s="14" t="s">
        <v>726</v>
      </c>
      <c r="L31" t="s">
        <v>338</v>
      </c>
      <c r="M31" t="s">
        <v>303</v>
      </c>
      <c r="N31" t="s">
        <v>304</v>
      </c>
      <c r="O31" t="s">
        <v>42</v>
      </c>
      <c r="P31" t="s">
        <v>50</v>
      </c>
      <c r="Q31">
        <v>1993</v>
      </c>
      <c r="S31" s="37" t="str">
        <f t="shared" si="7"/>
        <v>INSERT INTO Tab1_Joueurs VALUES ('1988ArgDi ', 'Di Maria', 'Ãngel', 'Milieu', 'Argentine', '1988');</v>
      </c>
      <c r="T31">
        <f t="shared" si="1"/>
        <v>10</v>
      </c>
      <c r="U31">
        <f t="shared" si="2"/>
        <v>8</v>
      </c>
      <c r="V31">
        <f t="shared" si="3"/>
        <v>8</v>
      </c>
      <c r="W31">
        <f t="shared" si="4"/>
        <v>7</v>
      </c>
      <c r="X31">
        <f t="shared" si="5"/>
        <v>9</v>
      </c>
      <c r="Y31">
        <f t="shared" si="6"/>
        <v>4</v>
      </c>
    </row>
    <row r="32" spans="1:25" x14ac:dyDescent="0.35">
      <c r="A32" t="s">
        <v>361</v>
      </c>
      <c r="B32" t="s">
        <v>105</v>
      </c>
      <c r="C32" t="s">
        <v>106</v>
      </c>
      <c r="D32" t="s">
        <v>7</v>
      </c>
      <c r="E32" t="s">
        <v>8</v>
      </c>
      <c r="F32">
        <v>1994</v>
      </c>
      <c r="K32" s="14" t="s">
        <v>727</v>
      </c>
      <c r="L32" t="s">
        <v>339</v>
      </c>
      <c r="M32" t="s">
        <v>48</v>
      </c>
      <c r="N32" t="s">
        <v>49</v>
      </c>
      <c r="O32" t="s">
        <v>25</v>
      </c>
      <c r="P32" t="s">
        <v>50</v>
      </c>
      <c r="Q32">
        <v>1995</v>
      </c>
      <c r="S32" s="37" t="str">
        <f t="shared" si="7"/>
        <v>INSERT INTO Tab1_Joueurs VALUES ('1993ArgMar', 'Martínez', 'Emiliano', 'Gardien', 'Argentine', '1993');</v>
      </c>
      <c r="T32">
        <f t="shared" si="1"/>
        <v>10</v>
      </c>
      <c r="U32">
        <f t="shared" si="2"/>
        <v>6</v>
      </c>
      <c r="V32">
        <f t="shared" si="3"/>
        <v>5</v>
      </c>
      <c r="W32">
        <f t="shared" si="4"/>
        <v>9</v>
      </c>
      <c r="X32">
        <f t="shared" si="5"/>
        <v>9</v>
      </c>
      <c r="Y32">
        <f t="shared" si="6"/>
        <v>4</v>
      </c>
    </row>
    <row r="33" spans="1:25" x14ac:dyDescent="0.35">
      <c r="A33" t="s">
        <v>362</v>
      </c>
      <c r="B33" t="s">
        <v>108</v>
      </c>
      <c r="C33" t="s">
        <v>107</v>
      </c>
      <c r="D33" t="s">
        <v>7</v>
      </c>
      <c r="E33" t="s">
        <v>8</v>
      </c>
      <c r="F33">
        <v>1998</v>
      </c>
      <c r="K33" s="14" t="s">
        <v>728</v>
      </c>
      <c r="L33" t="s">
        <v>340</v>
      </c>
      <c r="M33" t="s">
        <v>97</v>
      </c>
      <c r="N33" t="s">
        <v>98</v>
      </c>
      <c r="O33" t="s">
        <v>7</v>
      </c>
      <c r="P33" t="s">
        <v>50</v>
      </c>
      <c r="Q33">
        <v>1996</v>
      </c>
      <c r="S33" s="37" t="str">
        <f t="shared" si="7"/>
        <v>INSERT INTO Tab1_Joueurs VALUES ('1994ArgDyb', 'Dybala', 'Paulo', 'Attaquant', 'Argentine', '1994');</v>
      </c>
      <c r="T33">
        <f t="shared" si="1"/>
        <v>10</v>
      </c>
      <c r="U33">
        <f t="shared" si="2"/>
        <v>7</v>
      </c>
      <c r="V33">
        <f t="shared" si="3"/>
        <v>8</v>
      </c>
      <c r="W33">
        <f t="shared" si="4"/>
        <v>9</v>
      </c>
      <c r="X33">
        <f t="shared" si="5"/>
        <v>9</v>
      </c>
      <c r="Y33">
        <f t="shared" si="6"/>
        <v>4</v>
      </c>
    </row>
    <row r="34" spans="1:25" x14ac:dyDescent="0.35">
      <c r="A34" t="s">
        <v>363</v>
      </c>
      <c r="B34" t="s">
        <v>107</v>
      </c>
      <c r="C34" t="s">
        <v>108</v>
      </c>
      <c r="D34" t="s">
        <v>7</v>
      </c>
      <c r="E34" t="s">
        <v>8</v>
      </c>
      <c r="F34">
        <v>1998</v>
      </c>
      <c r="K34" s="14" t="s">
        <v>729</v>
      </c>
      <c r="L34" t="s">
        <v>341</v>
      </c>
      <c r="M34" t="s">
        <v>99</v>
      </c>
      <c r="N34" t="s">
        <v>100</v>
      </c>
      <c r="O34" t="s">
        <v>7</v>
      </c>
      <c r="P34" t="s">
        <v>50</v>
      </c>
      <c r="Q34">
        <v>1997</v>
      </c>
      <c r="S34" s="37" t="str">
        <f t="shared" si="7"/>
        <v>INSERT INTO Tab1_Joueurs VALUES ('1998ArgLau', 'Lautaro', 'Martínez', 'Attaquant', 'Argentine', '1998');</v>
      </c>
      <c r="T34">
        <f t="shared" ref="T34:T65" si="9">LEN(A34)</f>
        <v>10</v>
      </c>
      <c r="U34">
        <f t="shared" ref="U34:U65" si="10">LEN(B34)</f>
        <v>8</v>
      </c>
      <c r="V34">
        <f t="shared" ref="V34:V65" si="11">LEN(C34)</f>
        <v>7</v>
      </c>
      <c r="W34">
        <f t="shared" ref="W34:W65" si="12">LEN(D34)</f>
        <v>9</v>
      </c>
      <c r="X34">
        <f t="shared" ref="X34:X65" si="13">LEN(E34)</f>
        <v>9</v>
      </c>
      <c r="Y34">
        <f t="shared" ref="Y34:Y65" si="14">LEN(F34)</f>
        <v>4</v>
      </c>
    </row>
    <row r="35" spans="1:25" x14ac:dyDescent="0.35">
      <c r="A35" t="s">
        <v>364</v>
      </c>
      <c r="B35" t="s">
        <v>256</v>
      </c>
      <c r="C35" t="s">
        <v>64</v>
      </c>
      <c r="D35" t="s">
        <v>25</v>
      </c>
      <c r="E35" t="s">
        <v>8</v>
      </c>
      <c r="F35">
        <v>2002</v>
      </c>
      <c r="K35" s="14" t="s">
        <v>730</v>
      </c>
      <c r="L35" t="s">
        <v>342</v>
      </c>
      <c r="M35" t="s">
        <v>230</v>
      </c>
      <c r="N35" t="s">
        <v>231</v>
      </c>
      <c r="O35" t="s">
        <v>25</v>
      </c>
      <c r="P35" t="s">
        <v>50</v>
      </c>
      <c r="Q35">
        <v>2003</v>
      </c>
      <c r="S35" s="37" t="str">
        <f t="shared" ref="S35:S66" si="15">CONCATENATE("INSERT INTO Tab1_Joueurs VALUES ('",A34,$S$1,B34,$S$1,C34,$S$1,D34,$S$1,E34,$S$1,F34,"');")</f>
        <v>INSERT INTO Tab1_Joueurs VALUES ('1998ArgMar', 'Martínez', 'Lautaro', 'Attaquant', 'Argentine', '1998');</v>
      </c>
      <c r="T35">
        <f t="shared" si="9"/>
        <v>10</v>
      </c>
      <c r="U35">
        <f t="shared" si="10"/>
        <v>6</v>
      </c>
      <c r="V35">
        <f t="shared" si="11"/>
        <v>6</v>
      </c>
      <c r="W35">
        <f t="shared" si="12"/>
        <v>6</v>
      </c>
      <c r="X35">
        <f t="shared" si="13"/>
        <v>9</v>
      </c>
      <c r="Y35">
        <f t="shared" si="14"/>
        <v>4</v>
      </c>
    </row>
    <row r="36" spans="1:25" x14ac:dyDescent="0.35">
      <c r="A36" t="s">
        <v>365</v>
      </c>
      <c r="B36" t="s">
        <v>285</v>
      </c>
      <c r="C36" t="s">
        <v>286</v>
      </c>
      <c r="D36" t="s">
        <v>35</v>
      </c>
      <c r="E36" t="s">
        <v>8</v>
      </c>
      <c r="F36">
        <v>2003</v>
      </c>
      <c r="K36" s="14" t="s">
        <v>731</v>
      </c>
      <c r="L36" t="s">
        <v>343</v>
      </c>
      <c r="M36" t="s">
        <v>228</v>
      </c>
      <c r="N36" t="s">
        <v>229</v>
      </c>
      <c r="O36" t="s">
        <v>25</v>
      </c>
      <c r="P36" t="s">
        <v>50</v>
      </c>
      <c r="Q36">
        <v>2004</v>
      </c>
      <c r="S36" s="37" t="str">
        <f t="shared" si="15"/>
        <v>INSERT INTO Tab1_Joueurs VALUES ('2002ArgAlm', 'Almada', 'Thiago', 'Milieu', 'Argentine', '2002');</v>
      </c>
      <c r="T36">
        <f t="shared" si="9"/>
        <v>10</v>
      </c>
      <c r="U36">
        <f t="shared" si="10"/>
        <v>6</v>
      </c>
      <c r="V36">
        <f t="shared" si="11"/>
        <v>7</v>
      </c>
      <c r="W36">
        <f t="shared" si="12"/>
        <v>9</v>
      </c>
      <c r="X36">
        <f t="shared" si="13"/>
        <v>9</v>
      </c>
      <c r="Y36">
        <f t="shared" si="14"/>
        <v>4</v>
      </c>
    </row>
    <row r="37" spans="1:25" x14ac:dyDescent="0.35">
      <c r="A37" t="s">
        <v>366</v>
      </c>
      <c r="B37" t="s">
        <v>242</v>
      </c>
      <c r="C37" t="s">
        <v>243</v>
      </c>
      <c r="D37" t="s">
        <v>7</v>
      </c>
      <c r="E37" t="s">
        <v>8</v>
      </c>
      <c r="F37">
        <v>2005</v>
      </c>
      <c r="K37" s="14" t="s">
        <v>732</v>
      </c>
      <c r="L37" t="s">
        <v>344</v>
      </c>
      <c r="M37" t="s">
        <v>276</v>
      </c>
      <c r="N37" t="s">
        <v>277</v>
      </c>
      <c r="O37" t="s">
        <v>7</v>
      </c>
      <c r="P37" t="s">
        <v>50</v>
      </c>
      <c r="Q37">
        <v>2005</v>
      </c>
      <c r="S37" s="37" t="str">
        <f t="shared" si="15"/>
        <v>INSERT INTO Tab1_Joueurs VALUES ('2003ArgMed', 'Medina', 'Facundo', 'Défenseur', 'Argentine', '2003');</v>
      </c>
      <c r="T37">
        <f t="shared" si="9"/>
        <v>10</v>
      </c>
      <c r="U37">
        <f t="shared" si="10"/>
        <v>8</v>
      </c>
      <c r="V37">
        <f t="shared" si="11"/>
        <v>9</v>
      </c>
      <c r="W37">
        <f t="shared" si="12"/>
        <v>9</v>
      </c>
      <c r="X37">
        <f t="shared" si="13"/>
        <v>9</v>
      </c>
      <c r="Y37">
        <f t="shared" si="14"/>
        <v>4</v>
      </c>
    </row>
    <row r="38" spans="1:25" x14ac:dyDescent="0.35">
      <c r="A38" t="s">
        <v>367</v>
      </c>
      <c r="B38" t="s">
        <v>185</v>
      </c>
      <c r="C38" t="s">
        <v>186</v>
      </c>
      <c r="D38" t="s">
        <v>35</v>
      </c>
      <c r="E38" t="s">
        <v>187</v>
      </c>
      <c r="F38">
        <v>1993</v>
      </c>
      <c r="K38" s="14" t="s">
        <v>733</v>
      </c>
      <c r="L38" t="s">
        <v>345</v>
      </c>
      <c r="M38" t="s">
        <v>171</v>
      </c>
      <c r="N38" t="s">
        <v>172</v>
      </c>
      <c r="O38" t="s">
        <v>25</v>
      </c>
      <c r="P38" t="s">
        <v>72</v>
      </c>
      <c r="Q38">
        <v>1978</v>
      </c>
      <c r="S38" s="37" t="str">
        <f t="shared" si="15"/>
        <v>INSERT INTO Tab1_Joueurs VALUES ('2005ArgGar', 'Garnacho', 'Alejandro', 'Attaquant', 'Argentine', '2005');</v>
      </c>
      <c r="T38">
        <f t="shared" si="9"/>
        <v>10</v>
      </c>
      <c r="U38">
        <f t="shared" si="10"/>
        <v>5</v>
      </c>
      <c r="V38">
        <f t="shared" si="11"/>
        <v>5</v>
      </c>
      <c r="W38">
        <f t="shared" si="12"/>
        <v>9</v>
      </c>
      <c r="X38">
        <f t="shared" si="13"/>
        <v>8</v>
      </c>
      <c r="Y38">
        <f t="shared" si="14"/>
        <v>4</v>
      </c>
    </row>
    <row r="39" spans="1:25" x14ac:dyDescent="0.35">
      <c r="A39" t="s">
        <v>368</v>
      </c>
      <c r="B39" t="s">
        <v>27</v>
      </c>
      <c r="C39" t="s">
        <v>28</v>
      </c>
      <c r="D39" t="s">
        <v>25</v>
      </c>
      <c r="E39" t="s">
        <v>29</v>
      </c>
      <c r="F39">
        <v>1991</v>
      </c>
      <c r="K39" s="14" t="s">
        <v>734</v>
      </c>
      <c r="L39" t="s">
        <v>346</v>
      </c>
      <c r="M39" t="s">
        <v>169</v>
      </c>
      <c r="N39" t="s">
        <v>170</v>
      </c>
      <c r="O39" t="s">
        <v>25</v>
      </c>
      <c r="P39" t="s">
        <v>72</v>
      </c>
      <c r="Q39">
        <v>1980</v>
      </c>
      <c r="S39" s="37" t="str">
        <f t="shared" si="15"/>
        <v>INSERT INTO Tab1_Joueurs VALUES ('1993AutAla', 'Alaba', 'David', 'Défenseur', 'Autriche', '1993');</v>
      </c>
      <c r="T39">
        <f t="shared" si="9"/>
        <v>10</v>
      </c>
      <c r="U39">
        <f t="shared" si="10"/>
        <v>9</v>
      </c>
      <c r="V39">
        <f t="shared" si="11"/>
        <v>5</v>
      </c>
      <c r="W39">
        <f t="shared" si="12"/>
        <v>6</v>
      </c>
      <c r="X39">
        <f t="shared" si="13"/>
        <v>8</v>
      </c>
      <c r="Y39">
        <f t="shared" si="14"/>
        <v>4</v>
      </c>
    </row>
    <row r="40" spans="1:25" x14ac:dyDescent="0.35">
      <c r="A40" t="s">
        <v>369</v>
      </c>
      <c r="B40" t="s">
        <v>40</v>
      </c>
      <c r="C40" t="s">
        <v>41</v>
      </c>
      <c r="D40" t="s">
        <v>42</v>
      </c>
      <c r="E40" t="s">
        <v>29</v>
      </c>
      <c r="F40">
        <v>1992</v>
      </c>
      <c r="K40" s="14" t="s">
        <v>735</v>
      </c>
      <c r="L40" t="s">
        <v>347</v>
      </c>
      <c r="M40" t="s">
        <v>312</v>
      </c>
      <c r="N40" t="s">
        <v>313</v>
      </c>
      <c r="O40" t="s">
        <v>42</v>
      </c>
      <c r="P40" t="s">
        <v>72</v>
      </c>
      <c r="Q40">
        <v>1992</v>
      </c>
      <c r="S40" s="37" t="str">
        <f t="shared" si="15"/>
        <v>INSERT INTO Tab1_Joueurs VALUES ('1991BelDe ', 'De Bruyne', 'Kevin', 'Milieu', 'Belgique', '1991');</v>
      </c>
      <c r="T40">
        <f t="shared" si="9"/>
        <v>10</v>
      </c>
      <c r="U40">
        <f t="shared" si="10"/>
        <v>8</v>
      </c>
      <c r="V40">
        <f t="shared" si="11"/>
        <v>7</v>
      </c>
      <c r="W40">
        <f t="shared" si="12"/>
        <v>7</v>
      </c>
      <c r="X40">
        <f t="shared" si="13"/>
        <v>8</v>
      </c>
      <c r="Y40">
        <f t="shared" si="14"/>
        <v>4</v>
      </c>
    </row>
    <row r="41" spans="1:25" x14ac:dyDescent="0.35">
      <c r="A41" t="s">
        <v>370</v>
      </c>
      <c r="B41" t="s">
        <v>89</v>
      </c>
      <c r="C41" t="s">
        <v>90</v>
      </c>
      <c r="D41" t="s">
        <v>7</v>
      </c>
      <c r="E41" t="s">
        <v>29</v>
      </c>
      <c r="F41">
        <v>1993</v>
      </c>
      <c r="K41" s="14" t="s">
        <v>736</v>
      </c>
      <c r="L41" t="s">
        <v>348</v>
      </c>
      <c r="M41" t="s">
        <v>73</v>
      </c>
      <c r="N41" t="s">
        <v>74</v>
      </c>
      <c r="O41" t="s">
        <v>7</v>
      </c>
      <c r="P41" t="s">
        <v>72</v>
      </c>
      <c r="Q41">
        <v>1993</v>
      </c>
      <c r="S41" s="37" t="str">
        <f t="shared" si="15"/>
        <v>INSERT INTO Tab1_Joueurs VALUES ('1992BelCou', 'Courtois', 'Thibaut', 'Gardien', 'Belgique', '1992');</v>
      </c>
      <c r="T41">
        <f t="shared" si="9"/>
        <v>10</v>
      </c>
      <c r="U41">
        <f t="shared" si="10"/>
        <v>6</v>
      </c>
      <c r="V41">
        <f t="shared" si="11"/>
        <v>6</v>
      </c>
      <c r="W41">
        <f t="shared" si="12"/>
        <v>9</v>
      </c>
      <c r="X41">
        <f t="shared" si="13"/>
        <v>8</v>
      </c>
      <c r="Y41">
        <f t="shared" si="14"/>
        <v>4</v>
      </c>
    </row>
    <row r="42" spans="1:25" x14ac:dyDescent="0.35">
      <c r="A42" t="s">
        <v>371</v>
      </c>
      <c r="B42" t="s">
        <v>293</v>
      </c>
      <c r="C42" t="s">
        <v>294</v>
      </c>
      <c r="D42" t="s">
        <v>25</v>
      </c>
      <c r="E42" t="s">
        <v>29</v>
      </c>
      <c r="F42">
        <v>2003</v>
      </c>
      <c r="K42" s="14" t="s">
        <v>737</v>
      </c>
      <c r="L42" t="s">
        <v>349</v>
      </c>
      <c r="M42" t="s">
        <v>318</v>
      </c>
      <c r="N42" t="s">
        <v>319</v>
      </c>
      <c r="O42" t="s">
        <v>42</v>
      </c>
      <c r="P42" t="s">
        <v>72</v>
      </c>
      <c r="Q42">
        <v>1994</v>
      </c>
      <c r="S42" s="37" t="str">
        <f t="shared" si="15"/>
        <v>INSERT INTO Tab1_Joueurs VALUES ('1993BelLuk', 'Lukaku', 'Romelu', 'Attaquant', 'Belgique', '1993');</v>
      </c>
      <c r="T42">
        <f t="shared" si="9"/>
        <v>10</v>
      </c>
      <c r="U42">
        <f t="shared" si="10"/>
        <v>5</v>
      </c>
      <c r="V42">
        <f t="shared" si="11"/>
        <v>5</v>
      </c>
      <c r="W42">
        <f t="shared" si="12"/>
        <v>6</v>
      </c>
      <c r="X42">
        <f t="shared" si="13"/>
        <v>8</v>
      </c>
      <c r="Y42">
        <f t="shared" si="14"/>
        <v>4</v>
      </c>
    </row>
    <row r="43" spans="1:25" x14ac:dyDescent="0.35">
      <c r="A43" t="s">
        <v>372</v>
      </c>
      <c r="B43" t="s">
        <v>64</v>
      </c>
      <c r="C43" t="s">
        <v>65</v>
      </c>
      <c r="D43" t="s">
        <v>35</v>
      </c>
      <c r="E43" t="s">
        <v>14</v>
      </c>
      <c r="F43">
        <v>1984</v>
      </c>
      <c r="K43" s="14" t="s">
        <v>738</v>
      </c>
      <c r="L43" t="s">
        <v>350</v>
      </c>
      <c r="M43" t="s">
        <v>70</v>
      </c>
      <c r="N43" t="s">
        <v>71</v>
      </c>
      <c r="O43" t="s">
        <v>7</v>
      </c>
      <c r="P43" t="s">
        <v>72</v>
      </c>
      <c r="Q43">
        <v>1995</v>
      </c>
      <c r="S43" s="37" t="str">
        <f t="shared" si="15"/>
        <v>INSERT INTO Tab1_Joueurs VALUES ('2003BelLav', 'Lavia', 'Roméo', 'Milieu', 'Belgique', '2003');</v>
      </c>
      <c r="T43">
        <f t="shared" si="9"/>
        <v>10</v>
      </c>
      <c r="U43">
        <f t="shared" si="10"/>
        <v>6</v>
      </c>
      <c r="V43">
        <f t="shared" si="11"/>
        <v>5</v>
      </c>
      <c r="W43">
        <f t="shared" si="12"/>
        <v>9</v>
      </c>
      <c r="X43">
        <f t="shared" si="13"/>
        <v>6</v>
      </c>
      <c r="Y43">
        <f t="shared" si="14"/>
        <v>4</v>
      </c>
    </row>
    <row r="44" spans="1:25" x14ac:dyDescent="0.35">
      <c r="A44" t="s">
        <v>373</v>
      </c>
      <c r="B44" t="s">
        <v>43</v>
      </c>
      <c r="C44" t="s">
        <v>44</v>
      </c>
      <c r="D44" t="s">
        <v>42</v>
      </c>
      <c r="E44" t="s">
        <v>14</v>
      </c>
      <c r="F44">
        <v>1992</v>
      </c>
      <c r="K44" s="14" t="s">
        <v>739</v>
      </c>
      <c r="L44" t="s">
        <v>351</v>
      </c>
      <c r="M44" t="s">
        <v>117</v>
      </c>
      <c r="N44" t="s">
        <v>118</v>
      </c>
      <c r="O44" t="s">
        <v>7</v>
      </c>
      <c r="P44" t="s">
        <v>72</v>
      </c>
      <c r="Q44">
        <v>1997</v>
      </c>
      <c r="S44" s="37" t="str">
        <f t="shared" si="15"/>
        <v>INSERT INTO Tab1_Joueurs VALUES ('1984BréThi', 'Thiago', 'Silva', 'Défenseur', 'Brésil', '1984');</v>
      </c>
      <c r="T44">
        <f t="shared" si="9"/>
        <v>10</v>
      </c>
      <c r="U44">
        <f t="shared" si="10"/>
        <v>7</v>
      </c>
      <c r="V44">
        <f t="shared" si="11"/>
        <v>6</v>
      </c>
      <c r="W44">
        <f t="shared" si="12"/>
        <v>7</v>
      </c>
      <c r="X44">
        <f t="shared" si="13"/>
        <v>6</v>
      </c>
      <c r="Y44">
        <f t="shared" si="14"/>
        <v>4</v>
      </c>
    </row>
    <row r="45" spans="1:25" x14ac:dyDescent="0.35">
      <c r="A45" t="s">
        <v>374</v>
      </c>
      <c r="B45" t="s">
        <v>68</v>
      </c>
      <c r="C45" t="s">
        <v>69</v>
      </c>
      <c r="D45" t="s">
        <v>25</v>
      </c>
      <c r="E45" t="s">
        <v>14</v>
      </c>
      <c r="F45">
        <v>1992</v>
      </c>
      <c r="K45" s="14" t="s">
        <v>740</v>
      </c>
      <c r="L45" t="s">
        <v>352</v>
      </c>
      <c r="M45" t="s">
        <v>141</v>
      </c>
      <c r="N45" t="s">
        <v>142</v>
      </c>
      <c r="O45" t="s">
        <v>35</v>
      </c>
      <c r="P45" t="s">
        <v>72</v>
      </c>
      <c r="Q45">
        <v>1999</v>
      </c>
      <c r="S45" s="37" t="str">
        <f t="shared" si="15"/>
        <v>INSERT INTO Tab1_Joueurs VALUES ('1992BréAli', 'Alisson', 'Becker', 'Gardien', 'Brésil', '1992');</v>
      </c>
      <c r="T45">
        <f t="shared" si="9"/>
        <v>10</v>
      </c>
      <c r="U45">
        <f t="shared" si="10"/>
        <v>8</v>
      </c>
      <c r="V45">
        <f t="shared" si="11"/>
        <v>6</v>
      </c>
      <c r="W45">
        <f t="shared" si="12"/>
        <v>6</v>
      </c>
      <c r="X45">
        <f t="shared" si="13"/>
        <v>6</v>
      </c>
      <c r="Y45">
        <f t="shared" si="14"/>
        <v>4</v>
      </c>
    </row>
    <row r="46" spans="1:25" x14ac:dyDescent="0.35">
      <c r="A46" t="s">
        <v>375</v>
      </c>
      <c r="B46" t="s">
        <v>12</v>
      </c>
      <c r="C46" t="s">
        <v>13</v>
      </c>
      <c r="D46" t="s">
        <v>7</v>
      </c>
      <c r="E46" t="s">
        <v>14</v>
      </c>
      <c r="F46">
        <v>1992</v>
      </c>
      <c r="K46" s="14" t="s">
        <v>741</v>
      </c>
      <c r="L46" t="s">
        <v>353</v>
      </c>
      <c r="M46" t="s">
        <v>310</v>
      </c>
      <c r="N46" t="s">
        <v>311</v>
      </c>
      <c r="O46" t="s">
        <v>42</v>
      </c>
      <c r="P46" t="s">
        <v>72</v>
      </c>
      <c r="Q46">
        <v>1999</v>
      </c>
      <c r="S46" s="37" t="str">
        <f t="shared" si="15"/>
        <v>INSERT INTO Tab1_Joueurs VALUES ('1992BréCas', 'Casemiro', 'Carlos', 'Milieu', 'Brésil', '1992');</v>
      </c>
      <c r="T46">
        <f t="shared" si="9"/>
        <v>10</v>
      </c>
      <c r="U46">
        <f t="shared" si="10"/>
        <v>6</v>
      </c>
      <c r="V46">
        <f t="shared" si="11"/>
        <v>6</v>
      </c>
      <c r="W46">
        <f t="shared" si="12"/>
        <v>9</v>
      </c>
      <c r="X46">
        <f t="shared" si="13"/>
        <v>6</v>
      </c>
      <c r="Y46">
        <f t="shared" si="14"/>
        <v>4</v>
      </c>
    </row>
    <row r="47" spans="1:25" x14ac:dyDescent="0.35">
      <c r="A47" t="s">
        <v>376</v>
      </c>
      <c r="B47" t="s">
        <v>177</v>
      </c>
      <c r="C47" t="s">
        <v>178</v>
      </c>
      <c r="D47" t="s">
        <v>25</v>
      </c>
      <c r="E47" t="s">
        <v>14</v>
      </c>
      <c r="F47">
        <v>1993</v>
      </c>
      <c r="K47" s="14" t="s">
        <v>742</v>
      </c>
      <c r="L47" t="s">
        <v>354</v>
      </c>
      <c r="M47" t="s">
        <v>80</v>
      </c>
      <c r="N47" t="s">
        <v>81</v>
      </c>
      <c r="O47" t="s">
        <v>25</v>
      </c>
      <c r="P47" t="s">
        <v>72</v>
      </c>
      <c r="Q47">
        <v>2000</v>
      </c>
      <c r="S47" s="37" t="str">
        <f t="shared" si="15"/>
        <v>INSERT INTO Tab1_Joueurs VALUES ('1992BréNey', 'Neymar', 'Junior', 'Attaquant', 'Brésil', '1992');</v>
      </c>
      <c r="T47">
        <f t="shared" si="9"/>
        <v>10</v>
      </c>
      <c r="U47">
        <f t="shared" si="10"/>
        <v>7</v>
      </c>
      <c r="V47">
        <f t="shared" si="11"/>
        <v>5</v>
      </c>
      <c r="W47">
        <f t="shared" si="12"/>
        <v>6</v>
      </c>
      <c r="X47">
        <f t="shared" si="13"/>
        <v>6</v>
      </c>
      <c r="Y47">
        <f t="shared" si="14"/>
        <v>4</v>
      </c>
    </row>
    <row r="48" spans="1:25" x14ac:dyDescent="0.35">
      <c r="A48" t="s">
        <v>377</v>
      </c>
      <c r="B48" t="s">
        <v>301</v>
      </c>
      <c r="C48" t="s">
        <v>302</v>
      </c>
      <c r="D48" t="s">
        <v>42</v>
      </c>
      <c r="E48" t="s">
        <v>14</v>
      </c>
      <c r="F48">
        <v>1994</v>
      </c>
      <c r="K48" s="14" t="s">
        <v>743</v>
      </c>
      <c r="L48" t="s">
        <v>355</v>
      </c>
      <c r="M48" t="s">
        <v>119</v>
      </c>
      <c r="N48" t="s">
        <v>120</v>
      </c>
      <c r="O48" t="s">
        <v>25</v>
      </c>
      <c r="P48" t="s">
        <v>72</v>
      </c>
      <c r="Q48">
        <v>2000</v>
      </c>
      <c r="S48" s="37" t="str">
        <f t="shared" si="15"/>
        <v>INSERT INTO Tab1_Joueurs VALUES ('1993BréFab', 'Fabinho', 'Fabio', 'Milieu', 'Brésil', '1993');</v>
      </c>
      <c r="T48">
        <f t="shared" si="9"/>
        <v>10</v>
      </c>
      <c r="U48">
        <f t="shared" si="10"/>
        <v>7</v>
      </c>
      <c r="V48">
        <f t="shared" si="11"/>
        <v>6</v>
      </c>
      <c r="W48">
        <f t="shared" si="12"/>
        <v>7</v>
      </c>
      <c r="X48">
        <f t="shared" si="13"/>
        <v>6</v>
      </c>
      <c r="Y48">
        <f t="shared" si="14"/>
        <v>4</v>
      </c>
    </row>
    <row r="49" spans="1:25" x14ac:dyDescent="0.35">
      <c r="A49" t="s">
        <v>378</v>
      </c>
      <c r="B49" t="s">
        <v>146</v>
      </c>
      <c r="C49" t="s">
        <v>147</v>
      </c>
      <c r="D49" t="s">
        <v>35</v>
      </c>
      <c r="E49" t="s">
        <v>14</v>
      </c>
      <c r="F49">
        <v>1995</v>
      </c>
      <c r="K49" s="14" t="s">
        <v>744</v>
      </c>
      <c r="L49" t="s">
        <v>356</v>
      </c>
      <c r="M49" t="s">
        <v>111</v>
      </c>
      <c r="N49" t="s">
        <v>112</v>
      </c>
      <c r="O49" t="s">
        <v>25</v>
      </c>
      <c r="P49" t="s">
        <v>72</v>
      </c>
      <c r="Q49">
        <v>2003</v>
      </c>
      <c r="S49" s="37" t="str">
        <f t="shared" si="15"/>
        <v>INSERT INTO Tab1_Joueurs VALUES ('1994BréEde', 'Ederson', 'Moraes', 'Gardien', 'Brésil', '1994');</v>
      </c>
      <c r="T49">
        <f t="shared" si="9"/>
        <v>10</v>
      </c>
      <c r="U49">
        <f t="shared" si="10"/>
        <v>10</v>
      </c>
      <c r="V49">
        <f t="shared" si="11"/>
        <v>6</v>
      </c>
      <c r="W49">
        <f t="shared" si="12"/>
        <v>9</v>
      </c>
      <c r="X49">
        <f t="shared" si="13"/>
        <v>6</v>
      </c>
      <c r="Y49">
        <f t="shared" si="14"/>
        <v>4</v>
      </c>
    </row>
    <row r="50" spans="1:25" x14ac:dyDescent="0.35">
      <c r="A50" t="s">
        <v>379</v>
      </c>
      <c r="B50" t="s">
        <v>180</v>
      </c>
      <c r="C50" t="s">
        <v>181</v>
      </c>
      <c r="D50" t="s">
        <v>7</v>
      </c>
      <c r="E50" t="s">
        <v>14</v>
      </c>
      <c r="F50">
        <v>1997</v>
      </c>
      <c r="K50" s="14" t="s">
        <v>745</v>
      </c>
      <c r="L50" t="s">
        <v>357</v>
      </c>
      <c r="M50" t="s">
        <v>290</v>
      </c>
      <c r="N50" t="s">
        <v>291</v>
      </c>
      <c r="O50" t="s">
        <v>25</v>
      </c>
      <c r="P50" t="s">
        <v>72</v>
      </c>
      <c r="Q50">
        <v>2004</v>
      </c>
      <c r="S50" s="37" t="str">
        <f t="shared" si="15"/>
        <v>INSERT INTO Tab1_Joueurs VALUES ('1995BréMar', 'Marquinhos', 'Marcos', 'Défenseur', 'Brésil', '1995');</v>
      </c>
      <c r="T50">
        <f t="shared" si="9"/>
        <v>10</v>
      </c>
      <c r="U50">
        <f t="shared" si="10"/>
        <v>5</v>
      </c>
      <c r="V50">
        <f t="shared" si="11"/>
        <v>7</v>
      </c>
      <c r="W50">
        <f t="shared" si="12"/>
        <v>9</v>
      </c>
      <c r="X50">
        <f t="shared" si="13"/>
        <v>6</v>
      </c>
      <c r="Y50">
        <f t="shared" si="14"/>
        <v>4</v>
      </c>
    </row>
    <row r="51" spans="1:25" x14ac:dyDescent="0.35">
      <c r="A51" t="s">
        <v>380</v>
      </c>
      <c r="B51" t="s">
        <v>219</v>
      </c>
      <c r="C51" t="s">
        <v>219</v>
      </c>
      <c r="D51" t="s">
        <v>7</v>
      </c>
      <c r="E51" t="s">
        <v>14</v>
      </c>
      <c r="F51">
        <v>1998</v>
      </c>
      <c r="K51" s="14" t="s">
        <v>746</v>
      </c>
      <c r="L51" t="s">
        <v>358</v>
      </c>
      <c r="M51" t="s">
        <v>5</v>
      </c>
      <c r="N51" t="s">
        <v>6</v>
      </c>
      <c r="O51" t="s">
        <v>7</v>
      </c>
      <c r="P51" t="s">
        <v>8</v>
      </c>
      <c r="Q51">
        <v>1987</v>
      </c>
      <c r="S51" s="37" t="str">
        <f t="shared" si="15"/>
        <v>INSERT INTO Tab1_Joueurs VALUES ('1997BréJes', 'Jesus', 'Gabriel', 'Attaquant', 'Brésil', '1997');</v>
      </c>
      <c r="T51">
        <f t="shared" si="9"/>
        <v>10</v>
      </c>
      <c r="U51">
        <f t="shared" si="10"/>
        <v>11</v>
      </c>
      <c r="V51">
        <f t="shared" si="11"/>
        <v>11</v>
      </c>
      <c r="W51">
        <f t="shared" si="12"/>
        <v>9</v>
      </c>
      <c r="X51">
        <f t="shared" si="13"/>
        <v>6</v>
      </c>
      <c r="Y51">
        <f t="shared" si="14"/>
        <v>4</v>
      </c>
    </row>
    <row r="52" spans="1:25" x14ac:dyDescent="0.35">
      <c r="A52" t="s">
        <v>381</v>
      </c>
      <c r="B52" t="s">
        <v>296</v>
      </c>
      <c r="C52" t="s">
        <v>181</v>
      </c>
      <c r="D52" t="s">
        <v>25</v>
      </c>
      <c r="E52" t="s">
        <v>14</v>
      </c>
      <c r="F52">
        <v>2001</v>
      </c>
      <c r="K52" s="14" t="s">
        <v>747</v>
      </c>
      <c r="L52" t="s">
        <v>359</v>
      </c>
      <c r="M52" t="s">
        <v>103</v>
      </c>
      <c r="N52" t="s">
        <v>104</v>
      </c>
      <c r="O52" t="s">
        <v>25</v>
      </c>
      <c r="P52" t="s">
        <v>8</v>
      </c>
      <c r="Q52">
        <v>1988</v>
      </c>
      <c r="S52" s="37" t="str">
        <f t="shared" si="15"/>
        <v>INSERT INTO Tab1_Joueurs VALUES ('1998BréRic', 'Richarlison', 'Richarlison', 'Attaquant', 'Brésil', '1998');</v>
      </c>
      <c r="T52">
        <f t="shared" si="9"/>
        <v>10</v>
      </c>
      <c r="U52">
        <f t="shared" si="10"/>
        <v>6</v>
      </c>
      <c r="V52">
        <f t="shared" si="11"/>
        <v>7</v>
      </c>
      <c r="W52">
        <f t="shared" si="12"/>
        <v>6</v>
      </c>
      <c r="X52">
        <f t="shared" si="13"/>
        <v>6</v>
      </c>
      <c r="Y52">
        <f t="shared" si="14"/>
        <v>4</v>
      </c>
    </row>
    <row r="53" spans="1:25" x14ac:dyDescent="0.35">
      <c r="A53" t="s">
        <v>382</v>
      </c>
      <c r="B53" t="s">
        <v>234</v>
      </c>
      <c r="C53" t="s">
        <v>234</v>
      </c>
      <c r="D53" t="s">
        <v>7</v>
      </c>
      <c r="E53" t="s">
        <v>14</v>
      </c>
      <c r="F53">
        <v>2001</v>
      </c>
      <c r="K53" s="14" t="s">
        <v>748</v>
      </c>
      <c r="L53" t="s">
        <v>360</v>
      </c>
      <c r="M53" t="s">
        <v>107</v>
      </c>
      <c r="N53" t="s">
        <v>323</v>
      </c>
      <c r="O53" t="s">
        <v>42</v>
      </c>
      <c r="P53" t="s">
        <v>8</v>
      </c>
      <c r="Q53">
        <v>1993</v>
      </c>
      <c r="S53" s="37" t="str">
        <f t="shared" si="15"/>
        <v>INSERT INTO Tab1_Joueurs VALUES ('2001BréPai', 'Paixão', 'Gabriel', 'Milieu', 'Brésil', '2001');</v>
      </c>
      <c r="T53">
        <f t="shared" si="9"/>
        <v>10</v>
      </c>
      <c r="U53">
        <f t="shared" si="10"/>
        <v>7</v>
      </c>
      <c r="V53">
        <f t="shared" si="11"/>
        <v>7</v>
      </c>
      <c r="W53">
        <f t="shared" si="12"/>
        <v>9</v>
      </c>
      <c r="X53">
        <f t="shared" si="13"/>
        <v>6</v>
      </c>
      <c r="Y53">
        <f t="shared" si="14"/>
        <v>4</v>
      </c>
    </row>
    <row r="54" spans="1:25" x14ac:dyDescent="0.35">
      <c r="A54" t="s">
        <v>383</v>
      </c>
      <c r="B54" s="26" t="s">
        <v>115</v>
      </c>
      <c r="C54" s="26" t="s">
        <v>116</v>
      </c>
      <c r="D54" t="s">
        <v>7</v>
      </c>
      <c r="E54" t="s">
        <v>14</v>
      </c>
      <c r="F54">
        <v>2001</v>
      </c>
      <c r="K54" s="14" t="s">
        <v>749</v>
      </c>
      <c r="L54" t="s">
        <v>361</v>
      </c>
      <c r="M54" t="s">
        <v>105</v>
      </c>
      <c r="N54" t="s">
        <v>106</v>
      </c>
      <c r="O54" t="s">
        <v>7</v>
      </c>
      <c r="P54" t="s">
        <v>8</v>
      </c>
      <c r="Q54">
        <v>1994</v>
      </c>
      <c r="S54" s="37" t="str">
        <f t="shared" si="15"/>
        <v>INSERT INTO Tab1_Joueurs VALUES ('2001BréRod', 'Rodrygo', 'Rodrygo', 'Attaquant', 'Brésil', '2001');</v>
      </c>
      <c r="T54">
        <f t="shared" si="9"/>
        <v>10</v>
      </c>
      <c r="U54">
        <f t="shared" si="10"/>
        <v>8</v>
      </c>
      <c r="V54">
        <f t="shared" si="11"/>
        <v>8</v>
      </c>
      <c r="W54">
        <f t="shared" si="12"/>
        <v>9</v>
      </c>
      <c r="X54">
        <f t="shared" si="13"/>
        <v>6</v>
      </c>
      <c r="Y54">
        <f t="shared" si="14"/>
        <v>4</v>
      </c>
    </row>
    <row r="55" spans="1:25" x14ac:dyDescent="0.35">
      <c r="A55" t="s">
        <v>384</v>
      </c>
      <c r="B55" t="s">
        <v>295</v>
      </c>
      <c r="C55" t="s">
        <v>295</v>
      </c>
      <c r="D55" t="s">
        <v>7</v>
      </c>
      <c r="E55" t="s">
        <v>14</v>
      </c>
      <c r="F55">
        <v>2007</v>
      </c>
      <c r="K55" s="14" t="s">
        <v>750</v>
      </c>
      <c r="L55" t="s">
        <v>362</v>
      </c>
      <c r="M55" t="s">
        <v>108</v>
      </c>
      <c r="N55" t="s">
        <v>107</v>
      </c>
      <c r="O55" t="s">
        <v>7</v>
      </c>
      <c r="P55" t="s">
        <v>8</v>
      </c>
      <c r="Q55">
        <v>1998</v>
      </c>
      <c r="S55" s="37" t="str">
        <f t="shared" si="15"/>
        <v>INSERT INTO Tab1_Joueurs VALUES ('2001BréVin', 'Vini Jr.', 'Vinícius', 'Attaquant', 'Brésil', '2001');</v>
      </c>
      <c r="T55">
        <f t="shared" si="9"/>
        <v>10</v>
      </c>
      <c r="U55">
        <f t="shared" si="10"/>
        <v>7</v>
      </c>
      <c r="V55">
        <f t="shared" si="11"/>
        <v>7</v>
      </c>
      <c r="W55">
        <f t="shared" si="12"/>
        <v>9</v>
      </c>
      <c r="X55">
        <f t="shared" si="13"/>
        <v>6</v>
      </c>
      <c r="Y55">
        <f t="shared" si="14"/>
        <v>4</v>
      </c>
    </row>
    <row r="56" spans="1:25" x14ac:dyDescent="0.35">
      <c r="A56" t="s">
        <v>385</v>
      </c>
      <c r="B56" s="26" t="s">
        <v>155</v>
      </c>
      <c r="C56" s="26" t="s">
        <v>156</v>
      </c>
      <c r="D56" t="s">
        <v>7</v>
      </c>
      <c r="E56" t="s">
        <v>132</v>
      </c>
      <c r="F56">
        <v>1982</v>
      </c>
      <c r="K56" s="14" t="s">
        <v>751</v>
      </c>
      <c r="L56" t="s">
        <v>363</v>
      </c>
      <c r="M56" t="s">
        <v>107</v>
      </c>
      <c r="N56" t="s">
        <v>108</v>
      </c>
      <c r="O56" t="s">
        <v>7</v>
      </c>
      <c r="P56" t="s">
        <v>8</v>
      </c>
      <c r="Q56">
        <v>1998</v>
      </c>
      <c r="S56" s="37" t="str">
        <f t="shared" si="15"/>
        <v>INSERT INTO Tab1_Joueurs VALUES ('2007BréEnd', 'Endrick', 'Endrick', 'Attaquant', 'Brésil', '2007');</v>
      </c>
      <c r="T56">
        <f t="shared" si="9"/>
        <v>10</v>
      </c>
      <c r="U56">
        <f t="shared" si="10"/>
        <v>5</v>
      </c>
      <c r="V56">
        <f t="shared" si="11"/>
        <v>6</v>
      </c>
      <c r="W56">
        <f t="shared" si="12"/>
        <v>9</v>
      </c>
      <c r="X56">
        <f t="shared" si="13"/>
        <v>8</v>
      </c>
      <c r="Y56">
        <f t="shared" si="14"/>
        <v>4</v>
      </c>
    </row>
    <row r="57" spans="1:25" x14ac:dyDescent="0.35">
      <c r="A57" t="s">
        <v>386</v>
      </c>
      <c r="B57" t="s">
        <v>130</v>
      </c>
      <c r="C57" t="s">
        <v>131</v>
      </c>
      <c r="D57" t="s">
        <v>42</v>
      </c>
      <c r="E57" t="s">
        <v>132</v>
      </c>
      <c r="F57">
        <v>1996</v>
      </c>
      <c r="K57" s="14" t="s">
        <v>752</v>
      </c>
      <c r="L57" t="s">
        <v>364</v>
      </c>
      <c r="M57" t="s">
        <v>256</v>
      </c>
      <c r="N57" t="s">
        <v>64</v>
      </c>
      <c r="O57" t="s">
        <v>25</v>
      </c>
      <c r="P57" t="s">
        <v>8</v>
      </c>
      <c r="Q57">
        <v>2002</v>
      </c>
      <c r="S57" s="37" t="str">
        <f t="shared" si="15"/>
        <v>INSERT INTO Tab1_Joueurs VALUES ('1982CamEto', 'Eto'o', 'Samuel', 'Attaquant', 'Cameroun', '1982');</v>
      </c>
      <c r="T57">
        <f t="shared" si="9"/>
        <v>10</v>
      </c>
      <c r="U57">
        <f t="shared" si="10"/>
        <v>5</v>
      </c>
      <c r="V57">
        <f t="shared" si="11"/>
        <v>5</v>
      </c>
      <c r="W57">
        <f t="shared" si="12"/>
        <v>7</v>
      </c>
      <c r="X57">
        <f t="shared" si="13"/>
        <v>8</v>
      </c>
      <c r="Y57">
        <f t="shared" si="14"/>
        <v>4</v>
      </c>
    </row>
    <row r="58" spans="1:25" x14ac:dyDescent="0.35">
      <c r="A58" t="s">
        <v>387</v>
      </c>
      <c r="B58" t="s">
        <v>273</v>
      </c>
      <c r="C58" t="s">
        <v>274</v>
      </c>
      <c r="D58" t="s">
        <v>35</v>
      </c>
      <c r="E58" t="s">
        <v>275</v>
      </c>
      <c r="F58">
        <v>2001</v>
      </c>
      <c r="K58" s="14" t="s">
        <v>753</v>
      </c>
      <c r="L58" t="s">
        <v>365</v>
      </c>
      <c r="M58" t="s">
        <v>285</v>
      </c>
      <c r="N58" t="s">
        <v>286</v>
      </c>
      <c r="O58" t="s">
        <v>35</v>
      </c>
      <c r="P58" t="s">
        <v>8</v>
      </c>
      <c r="Q58">
        <v>2003</v>
      </c>
      <c r="S58" s="37" t="str">
        <f t="shared" si="15"/>
        <v>INSERT INTO Tab1_Joueurs VALUES ('1996CamOna', 'Onana', 'André', 'Gardien', 'Cameroun', '1996');</v>
      </c>
      <c r="T58">
        <f t="shared" si="9"/>
        <v>10</v>
      </c>
      <c r="U58">
        <f t="shared" si="10"/>
        <v>6</v>
      </c>
      <c r="V58">
        <f t="shared" si="11"/>
        <v>8</v>
      </c>
      <c r="W58">
        <f t="shared" si="12"/>
        <v>9</v>
      </c>
      <c r="X58">
        <f t="shared" si="13"/>
        <v>6</v>
      </c>
      <c r="Y58">
        <f t="shared" si="14"/>
        <v>4</v>
      </c>
    </row>
    <row r="59" spans="1:25" x14ac:dyDescent="0.35">
      <c r="A59" t="s">
        <v>388</v>
      </c>
      <c r="B59" t="s">
        <v>87</v>
      </c>
      <c r="C59" t="s">
        <v>88</v>
      </c>
      <c r="D59" t="s">
        <v>7</v>
      </c>
      <c r="E59" t="s">
        <v>502</v>
      </c>
      <c r="F59">
        <v>1992</v>
      </c>
      <c r="K59" s="14" t="s">
        <v>754</v>
      </c>
      <c r="L59" t="s">
        <v>366</v>
      </c>
      <c r="M59" t="s">
        <v>242</v>
      </c>
      <c r="N59" t="s">
        <v>243</v>
      </c>
      <c r="O59" t="s">
        <v>7</v>
      </c>
      <c r="P59" t="s">
        <v>8</v>
      </c>
      <c r="Q59">
        <v>2005</v>
      </c>
      <c r="S59" s="37" t="str">
        <f t="shared" si="15"/>
        <v>INSERT INTO Tab1_Joueurs VALUES ('2001CanDav', 'Davies', 'Alphonso', 'Défenseur', 'Canada', '2001');</v>
      </c>
      <c r="T59">
        <f t="shared" si="9"/>
        <v>10</v>
      </c>
      <c r="U59">
        <f t="shared" si="10"/>
        <v>3</v>
      </c>
      <c r="V59">
        <f t="shared" si="11"/>
        <v>9</v>
      </c>
      <c r="W59">
        <f t="shared" si="12"/>
        <v>9</v>
      </c>
      <c r="X59">
        <f t="shared" si="13"/>
        <v>12</v>
      </c>
      <c r="Y59">
        <f t="shared" si="14"/>
        <v>4</v>
      </c>
    </row>
    <row r="60" spans="1:25" x14ac:dyDescent="0.35">
      <c r="A60" t="s">
        <v>389</v>
      </c>
      <c r="B60" t="s">
        <v>316</v>
      </c>
      <c r="C60" t="s">
        <v>317</v>
      </c>
      <c r="D60" t="s">
        <v>42</v>
      </c>
      <c r="E60" t="s">
        <v>500</v>
      </c>
      <c r="F60">
        <v>1987</v>
      </c>
      <c r="K60" s="14" t="s">
        <v>755</v>
      </c>
      <c r="L60" t="s">
        <v>367</v>
      </c>
      <c r="M60" t="s">
        <v>185</v>
      </c>
      <c r="N60" t="s">
        <v>186</v>
      </c>
      <c r="O60" t="s">
        <v>35</v>
      </c>
      <c r="P60" t="s">
        <v>187</v>
      </c>
      <c r="Q60">
        <v>1993</v>
      </c>
      <c r="S60" s="37" t="str">
        <f t="shared" si="15"/>
        <v>INSERT INTO Tab1_Joueurs VALUES ('1992CorSon', 'Son', 'Heung-min', 'Attaquant', 'Corée-du-Sud', '1992');</v>
      </c>
      <c r="T60">
        <f t="shared" si="9"/>
        <v>10</v>
      </c>
      <c r="U60">
        <f t="shared" si="10"/>
        <v>5</v>
      </c>
      <c r="V60">
        <f t="shared" si="11"/>
        <v>6</v>
      </c>
      <c r="W60">
        <f t="shared" si="12"/>
        <v>7</v>
      </c>
      <c r="X60">
        <f t="shared" si="13"/>
        <v>10</v>
      </c>
      <c r="Y60">
        <f t="shared" si="14"/>
        <v>4</v>
      </c>
    </row>
    <row r="61" spans="1:25" x14ac:dyDescent="0.35">
      <c r="A61" t="s">
        <v>390</v>
      </c>
      <c r="B61" t="s">
        <v>265</v>
      </c>
      <c r="C61" t="s">
        <v>266</v>
      </c>
      <c r="D61" t="s">
        <v>25</v>
      </c>
      <c r="E61" t="s">
        <v>501</v>
      </c>
      <c r="F61">
        <v>2002</v>
      </c>
      <c r="K61" s="14" t="s">
        <v>756</v>
      </c>
      <c r="L61" t="s">
        <v>368</v>
      </c>
      <c r="M61" t="s">
        <v>27</v>
      </c>
      <c r="N61" t="s">
        <v>28</v>
      </c>
      <c r="O61" t="s">
        <v>25</v>
      </c>
      <c r="P61" t="s">
        <v>29</v>
      </c>
      <c r="Q61">
        <v>1991</v>
      </c>
      <c r="S61" s="37" t="str">
        <f t="shared" si="15"/>
        <v>INSERT INTO Tab1_Joueurs VALUES ('1987CosNav', 'Navas', 'Keylor', 'Gardien', 'Costa-Rica', '1987');</v>
      </c>
      <c r="T61">
        <f t="shared" si="9"/>
        <v>10</v>
      </c>
      <c r="U61">
        <f t="shared" si="10"/>
        <v>7</v>
      </c>
      <c r="V61">
        <f t="shared" si="11"/>
        <v>6</v>
      </c>
      <c r="W61">
        <f t="shared" si="12"/>
        <v>6</v>
      </c>
      <c r="X61">
        <f t="shared" si="13"/>
        <v>13</v>
      </c>
      <c r="Y61">
        <f t="shared" si="14"/>
        <v>4</v>
      </c>
    </row>
    <row r="62" spans="1:25" x14ac:dyDescent="0.35">
      <c r="A62" t="s">
        <v>391</v>
      </c>
      <c r="B62" t="s">
        <v>271</v>
      </c>
      <c r="C62" t="s">
        <v>272</v>
      </c>
      <c r="D62" t="s">
        <v>35</v>
      </c>
      <c r="E62" t="s">
        <v>501</v>
      </c>
      <c r="F62">
        <v>2002</v>
      </c>
      <c r="K62" s="14" t="s">
        <v>757</v>
      </c>
      <c r="L62" t="s">
        <v>369</v>
      </c>
      <c r="M62" t="s">
        <v>40</v>
      </c>
      <c r="N62" t="s">
        <v>41</v>
      </c>
      <c r="O62" t="s">
        <v>42</v>
      </c>
      <c r="P62" t="s">
        <v>29</v>
      </c>
      <c r="Q62">
        <v>1992</v>
      </c>
      <c r="S62" s="37" t="str">
        <f t="shared" si="15"/>
        <v>INSERT INTO Tab1_Joueurs VALUES ('2002CôtCai', 'Caicedo', 'Moisés', 'Milieu', 'Côte-d'Ivoire', '2002');</v>
      </c>
      <c r="T62">
        <f t="shared" si="9"/>
        <v>10</v>
      </c>
      <c r="U62">
        <f t="shared" si="10"/>
        <v>8</v>
      </c>
      <c r="V62">
        <f t="shared" si="11"/>
        <v>6</v>
      </c>
      <c r="W62">
        <f t="shared" si="12"/>
        <v>9</v>
      </c>
      <c r="X62">
        <f t="shared" si="13"/>
        <v>13</v>
      </c>
      <c r="Y62">
        <f t="shared" si="14"/>
        <v>4</v>
      </c>
    </row>
    <row r="63" spans="1:25" x14ac:dyDescent="0.35">
      <c r="A63" t="s">
        <v>392</v>
      </c>
      <c r="B63" t="s">
        <v>23</v>
      </c>
      <c r="C63" t="s">
        <v>24</v>
      </c>
      <c r="D63" t="s">
        <v>25</v>
      </c>
      <c r="E63" t="s">
        <v>26</v>
      </c>
      <c r="F63">
        <v>1986</v>
      </c>
      <c r="K63" s="14" t="s">
        <v>758</v>
      </c>
      <c r="L63" t="s">
        <v>370</v>
      </c>
      <c r="M63" t="s">
        <v>89</v>
      </c>
      <c r="N63" t="s">
        <v>90</v>
      </c>
      <c r="O63" t="s">
        <v>7</v>
      </c>
      <c r="P63" t="s">
        <v>29</v>
      </c>
      <c r="Q63">
        <v>1993</v>
      </c>
      <c r="S63" s="37" t="str">
        <f t="shared" si="15"/>
        <v>INSERT INTO Tab1_Joueurs VALUES ('2002CôtDio', 'Diomandé', 'Odilon', 'Défenseur', 'Côte-d'Ivoire', '2002');</v>
      </c>
      <c r="T63">
        <f t="shared" si="9"/>
        <v>10</v>
      </c>
      <c r="U63">
        <f t="shared" si="10"/>
        <v>6</v>
      </c>
      <c r="V63">
        <f t="shared" si="11"/>
        <v>4</v>
      </c>
      <c r="W63">
        <f t="shared" si="12"/>
        <v>6</v>
      </c>
      <c r="X63">
        <f t="shared" si="13"/>
        <v>7</v>
      </c>
      <c r="Y63">
        <f t="shared" si="14"/>
        <v>4</v>
      </c>
    </row>
    <row r="64" spans="1:25" x14ac:dyDescent="0.35">
      <c r="A64" t="s">
        <v>393</v>
      </c>
      <c r="B64" t="s">
        <v>324</v>
      </c>
      <c r="C64" t="s">
        <v>248</v>
      </c>
      <c r="D64" t="s">
        <v>42</v>
      </c>
      <c r="E64" t="s">
        <v>26</v>
      </c>
      <c r="F64">
        <v>1995</v>
      </c>
      <c r="K64" s="14" t="s">
        <v>759</v>
      </c>
      <c r="L64" t="s">
        <v>371</v>
      </c>
      <c r="M64" t="s">
        <v>293</v>
      </c>
      <c r="N64" t="s">
        <v>294</v>
      </c>
      <c r="O64" t="s">
        <v>25</v>
      </c>
      <c r="P64" t="s">
        <v>29</v>
      </c>
      <c r="Q64">
        <v>2003</v>
      </c>
      <c r="S64" s="37" t="str">
        <f t="shared" si="15"/>
        <v>INSERT INTO Tab1_Joueurs VALUES ('1986CroMod', 'Modrić', 'Luka', 'Milieu', 'Croatie', '1986');</v>
      </c>
      <c r="T64">
        <f t="shared" si="9"/>
        <v>10</v>
      </c>
      <c r="U64">
        <f t="shared" si="10"/>
        <v>9</v>
      </c>
      <c r="V64">
        <f t="shared" si="11"/>
        <v>7</v>
      </c>
      <c r="W64">
        <f t="shared" si="12"/>
        <v>7</v>
      </c>
      <c r="X64">
        <f t="shared" si="13"/>
        <v>7</v>
      </c>
      <c r="Y64">
        <f t="shared" si="14"/>
        <v>4</v>
      </c>
    </row>
    <row r="65" spans="1:25" x14ac:dyDescent="0.35">
      <c r="A65" t="s">
        <v>394</v>
      </c>
      <c r="B65" t="s">
        <v>258</v>
      </c>
      <c r="C65" t="s">
        <v>259</v>
      </c>
      <c r="D65" t="s">
        <v>35</v>
      </c>
      <c r="E65" t="s">
        <v>26</v>
      </c>
      <c r="F65">
        <v>2002</v>
      </c>
      <c r="K65" s="14" t="s">
        <v>760</v>
      </c>
      <c r="L65" t="s">
        <v>372</v>
      </c>
      <c r="M65" t="s">
        <v>64</v>
      </c>
      <c r="N65" t="s">
        <v>65</v>
      </c>
      <c r="O65" t="s">
        <v>35</v>
      </c>
      <c r="P65" t="s">
        <v>14</v>
      </c>
      <c r="Q65">
        <v>1984</v>
      </c>
      <c r="S65" s="37" t="str">
        <f t="shared" si="15"/>
        <v>INSERT INTO Tab1_Joueurs VALUES ('1995CroLiv', 'Livaković', 'Dominik', 'Gardien', 'Croatie', '1995');</v>
      </c>
      <c r="T65">
        <f t="shared" si="9"/>
        <v>10</v>
      </c>
      <c r="U65">
        <f t="shared" si="10"/>
        <v>8</v>
      </c>
      <c r="V65">
        <f t="shared" si="11"/>
        <v>5</v>
      </c>
      <c r="W65">
        <f t="shared" si="12"/>
        <v>9</v>
      </c>
      <c r="X65">
        <f t="shared" si="13"/>
        <v>7</v>
      </c>
      <c r="Y65">
        <f t="shared" si="14"/>
        <v>4</v>
      </c>
    </row>
    <row r="66" spans="1:25" x14ac:dyDescent="0.35">
      <c r="A66" t="s">
        <v>395</v>
      </c>
      <c r="B66" s="31" t="s">
        <v>250</v>
      </c>
      <c r="C66" t="s">
        <v>251</v>
      </c>
      <c r="D66" t="s">
        <v>7</v>
      </c>
      <c r="E66" t="s">
        <v>252</v>
      </c>
      <c r="F66">
        <v>2003</v>
      </c>
      <c r="K66" s="14" t="s">
        <v>761</v>
      </c>
      <c r="L66" t="s">
        <v>373</v>
      </c>
      <c r="M66" t="s">
        <v>43</v>
      </c>
      <c r="N66" t="s">
        <v>44</v>
      </c>
      <c r="O66" t="s">
        <v>42</v>
      </c>
      <c r="P66" t="s">
        <v>14</v>
      </c>
      <c r="Q66">
        <v>1992</v>
      </c>
      <c r="S66" s="37" t="str">
        <f t="shared" si="15"/>
        <v>INSERT INTO Tab1_Joueurs VALUES ('2002CroGva', 'Gvardiol', 'Joško', 'Défenseur', 'Croatie', '2002');</v>
      </c>
      <c r="T66">
        <f t="shared" ref="T66:T97" si="16">LEN(A66)</f>
        <v>10</v>
      </c>
      <c r="U66">
        <f t="shared" ref="U66:U97" si="17">LEN(B66)</f>
        <v>7</v>
      </c>
      <c r="V66">
        <f t="shared" ref="V66:V97" si="18">LEN(C66)</f>
        <v>6</v>
      </c>
      <c r="W66">
        <f t="shared" ref="W66:W97" si="19">LEN(D66)</f>
        <v>9</v>
      </c>
      <c r="X66">
        <f t="shared" ref="X66:X97" si="20">LEN(E66)</f>
        <v>8</v>
      </c>
      <c r="Y66">
        <f t="shared" ref="Y66:Y97" si="21">LEN(F66)</f>
        <v>4</v>
      </c>
    </row>
    <row r="67" spans="1:25" x14ac:dyDescent="0.35">
      <c r="A67" t="s">
        <v>396</v>
      </c>
      <c r="B67" t="s">
        <v>143</v>
      </c>
      <c r="C67" t="s">
        <v>144</v>
      </c>
      <c r="D67" t="s">
        <v>35</v>
      </c>
      <c r="E67" t="s">
        <v>145</v>
      </c>
      <c r="F67">
        <v>1994</v>
      </c>
      <c r="K67" s="14" t="s">
        <v>762</v>
      </c>
      <c r="L67" t="s">
        <v>374</v>
      </c>
      <c r="M67" t="s">
        <v>68</v>
      </c>
      <c r="N67" t="s">
        <v>69</v>
      </c>
      <c r="O67" t="s">
        <v>25</v>
      </c>
      <c r="P67" t="s">
        <v>14</v>
      </c>
      <c r="Q67">
        <v>1992</v>
      </c>
      <c r="S67" s="37" t="str">
        <f t="shared" ref="S67:S98" si="22">CONCATENATE("INSERT INTO Tab1_Joueurs VALUES ('",A66,$S$1,B66,$S$1,C66,$S$1,D66,$S$1,E66,$S$1,F66,"');")</f>
        <v>INSERT INTO Tab1_Joueurs VALUES ('2003DanHøj', 'Højlund', 'Rasmus', 'Attaquant', 'Danemark', '2003');</v>
      </c>
      <c r="T67">
        <f t="shared" si="16"/>
        <v>10</v>
      </c>
      <c r="U67">
        <f t="shared" si="17"/>
        <v>9</v>
      </c>
      <c r="V67">
        <f t="shared" si="18"/>
        <v>6</v>
      </c>
      <c r="W67">
        <f t="shared" si="19"/>
        <v>9</v>
      </c>
      <c r="X67">
        <f t="shared" si="20"/>
        <v>6</v>
      </c>
      <c r="Y67">
        <f t="shared" si="21"/>
        <v>4</v>
      </c>
    </row>
    <row r="68" spans="1:25" x14ac:dyDescent="0.35">
      <c r="A68" t="s">
        <v>397</v>
      </c>
      <c r="B68" t="s">
        <v>30</v>
      </c>
      <c r="C68" t="s">
        <v>31</v>
      </c>
      <c r="D68" t="s">
        <v>7</v>
      </c>
      <c r="E68" t="s">
        <v>32</v>
      </c>
      <c r="F68">
        <v>1992</v>
      </c>
      <c r="K68" s="14" t="s">
        <v>763</v>
      </c>
      <c r="L68" t="s">
        <v>375</v>
      </c>
      <c r="M68" t="s">
        <v>12</v>
      </c>
      <c r="N68" t="s">
        <v>13</v>
      </c>
      <c r="O68" t="s">
        <v>7</v>
      </c>
      <c r="P68" t="s">
        <v>14</v>
      </c>
      <c r="Q68">
        <v>1992</v>
      </c>
      <c r="S68" s="37" t="str">
        <f t="shared" si="22"/>
        <v>INSERT INTO Tab1_Joueurs VALUES ('1994ÉcoRob', 'Robertson', 'Andrew', 'Défenseur', 'Écosse', '1994');</v>
      </c>
      <c r="T68">
        <f t="shared" si="16"/>
        <v>10</v>
      </c>
      <c r="U68">
        <f t="shared" si="17"/>
        <v>5</v>
      </c>
      <c r="V68">
        <f t="shared" si="18"/>
        <v>7</v>
      </c>
      <c r="W68">
        <f t="shared" si="19"/>
        <v>9</v>
      </c>
      <c r="X68">
        <f t="shared" si="20"/>
        <v>6</v>
      </c>
      <c r="Y68">
        <f t="shared" si="21"/>
        <v>4</v>
      </c>
    </row>
    <row r="69" spans="1:25" x14ac:dyDescent="0.35">
      <c r="A69" t="s">
        <v>398</v>
      </c>
      <c r="B69" t="s">
        <v>236</v>
      </c>
      <c r="C69" t="s">
        <v>237</v>
      </c>
      <c r="D69" t="s">
        <v>35</v>
      </c>
      <c r="E69" t="s">
        <v>238</v>
      </c>
      <c r="F69">
        <v>2003</v>
      </c>
      <c r="K69" s="14" t="s">
        <v>764</v>
      </c>
      <c r="L69" t="s">
        <v>376</v>
      </c>
      <c r="M69" t="s">
        <v>177</v>
      </c>
      <c r="N69" t="s">
        <v>178</v>
      </c>
      <c r="O69" t="s">
        <v>25</v>
      </c>
      <c r="P69" t="s">
        <v>14</v>
      </c>
      <c r="Q69">
        <v>1993</v>
      </c>
      <c r="S69" s="37" t="str">
        <f t="shared" si="22"/>
        <v>INSERT INTO Tab1_Joueurs VALUES ('1992ÉgySal', 'Salah', 'Mohamed', 'Attaquant', 'Égypte', '1992');</v>
      </c>
      <c r="T69">
        <f t="shared" si="16"/>
        <v>10</v>
      </c>
      <c r="U69">
        <f t="shared" si="17"/>
        <v>8</v>
      </c>
      <c r="V69">
        <f t="shared" si="18"/>
        <v>5</v>
      </c>
      <c r="W69">
        <f t="shared" si="19"/>
        <v>9</v>
      </c>
      <c r="X69">
        <f t="shared" si="20"/>
        <v>8</v>
      </c>
      <c r="Y69">
        <f t="shared" si="21"/>
        <v>4</v>
      </c>
    </row>
    <row r="70" spans="1:25" x14ac:dyDescent="0.35">
      <c r="A70" t="s">
        <v>399</v>
      </c>
      <c r="B70" t="s">
        <v>153</v>
      </c>
      <c r="C70" t="s">
        <v>154</v>
      </c>
      <c r="D70" t="s">
        <v>25</v>
      </c>
      <c r="E70" t="s">
        <v>47</v>
      </c>
      <c r="F70">
        <v>1981</v>
      </c>
      <c r="K70" s="14" t="s">
        <v>765</v>
      </c>
      <c r="L70" t="s">
        <v>377</v>
      </c>
      <c r="M70" t="s">
        <v>301</v>
      </c>
      <c r="N70" t="s">
        <v>302</v>
      </c>
      <c r="O70" t="s">
        <v>42</v>
      </c>
      <c r="P70" t="s">
        <v>14</v>
      </c>
      <c r="Q70">
        <v>1994</v>
      </c>
      <c r="S70" s="37" t="str">
        <f t="shared" si="22"/>
        <v>INSERT INTO Tab1_Joueurs VALUES ('2003ÉquHin', 'Hincapié', 'Piero', 'Défenseur', 'Équateur', '2003');</v>
      </c>
      <c r="T70">
        <f t="shared" si="16"/>
        <v>10</v>
      </c>
      <c r="U70">
        <f t="shared" si="17"/>
        <v>4</v>
      </c>
      <c r="V70">
        <f t="shared" si="18"/>
        <v>6</v>
      </c>
      <c r="W70">
        <f t="shared" si="19"/>
        <v>6</v>
      </c>
      <c r="X70">
        <f t="shared" si="20"/>
        <v>7</v>
      </c>
      <c r="Y70">
        <f t="shared" si="21"/>
        <v>4</v>
      </c>
    </row>
    <row r="71" spans="1:25" x14ac:dyDescent="0.35">
      <c r="A71" t="s">
        <v>400</v>
      </c>
      <c r="B71" t="s">
        <v>151</v>
      </c>
      <c r="C71" t="s">
        <v>152</v>
      </c>
      <c r="D71" t="s">
        <v>25</v>
      </c>
      <c r="E71" t="s">
        <v>47</v>
      </c>
      <c r="F71">
        <v>1984</v>
      </c>
      <c r="K71" s="14" t="s">
        <v>766</v>
      </c>
      <c r="L71" t="s">
        <v>378</v>
      </c>
      <c r="M71" t="s">
        <v>146</v>
      </c>
      <c r="N71" t="s">
        <v>147</v>
      </c>
      <c r="O71" t="s">
        <v>35</v>
      </c>
      <c r="P71" t="s">
        <v>14</v>
      </c>
      <c r="Q71">
        <v>1995</v>
      </c>
      <c r="S71" s="37" t="str">
        <f t="shared" si="22"/>
        <v>INSERT INTO Tab1_Joueurs VALUES ('1981EspXav', 'Xavi', 'Xavier', 'Milieu', 'Espagne', '1981');</v>
      </c>
      <c r="T71">
        <f t="shared" si="16"/>
        <v>10</v>
      </c>
      <c r="U71">
        <f t="shared" si="17"/>
        <v>7</v>
      </c>
      <c r="V71">
        <f t="shared" si="18"/>
        <v>6</v>
      </c>
      <c r="W71">
        <f t="shared" si="19"/>
        <v>6</v>
      </c>
      <c r="X71">
        <f t="shared" si="20"/>
        <v>7</v>
      </c>
      <c r="Y71">
        <f t="shared" si="21"/>
        <v>4</v>
      </c>
    </row>
    <row r="72" spans="1:25" x14ac:dyDescent="0.35">
      <c r="A72" t="s">
        <v>401</v>
      </c>
      <c r="B72" t="s">
        <v>45</v>
      </c>
      <c r="C72" t="s">
        <v>46</v>
      </c>
      <c r="D72" t="s">
        <v>35</v>
      </c>
      <c r="E72" t="s">
        <v>47</v>
      </c>
      <c r="F72">
        <v>1986</v>
      </c>
      <c r="K72" s="14" t="s">
        <v>767</v>
      </c>
      <c r="L72" t="s">
        <v>379</v>
      </c>
      <c r="M72" t="s">
        <v>180</v>
      </c>
      <c r="N72" t="s">
        <v>181</v>
      </c>
      <c r="O72" t="s">
        <v>7</v>
      </c>
      <c r="P72" t="s">
        <v>14</v>
      </c>
      <c r="Q72">
        <v>1997</v>
      </c>
      <c r="S72" s="37" t="str">
        <f t="shared" si="22"/>
        <v>INSERT INTO Tab1_Joueurs VALUES ('1984EspIni', 'Iniesta', 'Andrés', 'Milieu', 'Espagne', '1984');</v>
      </c>
      <c r="T72">
        <f t="shared" si="16"/>
        <v>10</v>
      </c>
      <c r="U72">
        <f t="shared" si="17"/>
        <v>5</v>
      </c>
      <c r="V72">
        <f t="shared" si="18"/>
        <v>6</v>
      </c>
      <c r="W72">
        <f t="shared" si="19"/>
        <v>9</v>
      </c>
      <c r="X72">
        <f t="shared" si="20"/>
        <v>7</v>
      </c>
      <c r="Y72">
        <f t="shared" si="21"/>
        <v>4</v>
      </c>
    </row>
    <row r="73" spans="1:25" x14ac:dyDescent="0.35">
      <c r="A73" t="s">
        <v>402</v>
      </c>
      <c r="B73" t="s">
        <v>148</v>
      </c>
      <c r="C73" t="s">
        <v>149</v>
      </c>
      <c r="D73" t="s">
        <v>35</v>
      </c>
      <c r="E73" t="s">
        <v>47</v>
      </c>
      <c r="F73">
        <v>1987</v>
      </c>
      <c r="K73" s="14" t="s">
        <v>768</v>
      </c>
      <c r="L73" t="s">
        <v>380</v>
      </c>
      <c r="M73" t="s">
        <v>219</v>
      </c>
      <c r="N73" t="s">
        <v>219</v>
      </c>
      <c r="O73" t="s">
        <v>7</v>
      </c>
      <c r="P73" t="s">
        <v>14</v>
      </c>
      <c r="Q73">
        <v>1998</v>
      </c>
      <c r="S73" s="37" t="str">
        <f t="shared" si="22"/>
        <v>INSERT INTO Tab1_Joueurs VALUES ('1986EspRam', 'Ramos', 'Sergio', 'Défenseur', 'Espagne', '1986');</v>
      </c>
      <c r="T73">
        <f t="shared" si="16"/>
        <v>10</v>
      </c>
      <c r="U73">
        <f t="shared" si="17"/>
        <v>5</v>
      </c>
      <c r="V73">
        <f t="shared" si="18"/>
        <v>6</v>
      </c>
      <c r="W73">
        <f t="shared" si="19"/>
        <v>9</v>
      </c>
      <c r="X73">
        <f t="shared" si="20"/>
        <v>7</v>
      </c>
      <c r="Y73">
        <f t="shared" si="21"/>
        <v>4</v>
      </c>
    </row>
    <row r="74" spans="1:25" x14ac:dyDescent="0.35">
      <c r="A74" t="s">
        <v>403</v>
      </c>
      <c r="B74" t="s">
        <v>150</v>
      </c>
      <c r="C74" t="s">
        <v>46</v>
      </c>
      <c r="D74" t="s">
        <v>25</v>
      </c>
      <c r="E74" t="s">
        <v>47</v>
      </c>
      <c r="F74">
        <v>1988</v>
      </c>
      <c r="K74" s="14" t="s">
        <v>769</v>
      </c>
      <c r="L74" t="s">
        <v>381</v>
      </c>
      <c r="M74" t="s">
        <v>296</v>
      </c>
      <c r="N74" t="s">
        <v>181</v>
      </c>
      <c r="O74" t="s">
        <v>25</v>
      </c>
      <c r="P74" t="s">
        <v>14</v>
      </c>
      <c r="Q74">
        <v>2001</v>
      </c>
      <c r="S74" s="37" t="str">
        <f t="shared" si="22"/>
        <v>INSERT INTO Tab1_Joueurs VALUES ('1987EspPiq', 'Piqué', 'Gerard', 'Défenseur', 'Espagne', '1987');</v>
      </c>
      <c r="T74">
        <f t="shared" si="16"/>
        <v>10</v>
      </c>
      <c r="U74">
        <f t="shared" si="17"/>
        <v>8</v>
      </c>
      <c r="V74">
        <f t="shared" si="18"/>
        <v>6</v>
      </c>
      <c r="W74">
        <f t="shared" si="19"/>
        <v>6</v>
      </c>
      <c r="X74">
        <f t="shared" si="20"/>
        <v>7</v>
      </c>
      <c r="Y74">
        <f t="shared" si="21"/>
        <v>4</v>
      </c>
    </row>
    <row r="75" spans="1:25" x14ac:dyDescent="0.35">
      <c r="A75" t="s">
        <v>404</v>
      </c>
      <c r="B75" t="s">
        <v>62</v>
      </c>
      <c r="C75" t="s">
        <v>63</v>
      </c>
      <c r="D75" t="s">
        <v>35</v>
      </c>
      <c r="E75" t="s">
        <v>47</v>
      </c>
      <c r="F75">
        <v>1989</v>
      </c>
      <c r="K75" s="14" t="s">
        <v>770</v>
      </c>
      <c r="L75" t="s">
        <v>382</v>
      </c>
      <c r="M75" t="s">
        <v>234</v>
      </c>
      <c r="N75" t="s">
        <v>234</v>
      </c>
      <c r="O75" t="s">
        <v>7</v>
      </c>
      <c r="P75" t="s">
        <v>14</v>
      </c>
      <c r="Q75">
        <v>2001</v>
      </c>
      <c r="S75" s="37" t="str">
        <f t="shared" si="22"/>
        <v>INSERT INTO Tab1_Joueurs VALUES ('1988EspBus', 'Busquets', 'Sergio', 'Milieu', 'Espagne', '1988');</v>
      </c>
      <c r="T75">
        <f t="shared" si="16"/>
        <v>10</v>
      </c>
      <c r="U75">
        <f t="shared" si="17"/>
        <v>4</v>
      </c>
      <c r="V75">
        <f t="shared" si="18"/>
        <v>5</v>
      </c>
      <c r="W75">
        <f t="shared" si="19"/>
        <v>9</v>
      </c>
      <c r="X75">
        <f t="shared" si="20"/>
        <v>7</v>
      </c>
      <c r="Y75">
        <f t="shared" si="21"/>
        <v>4</v>
      </c>
    </row>
    <row r="76" spans="1:25" x14ac:dyDescent="0.35">
      <c r="A76" t="s">
        <v>405</v>
      </c>
      <c r="B76" t="s">
        <v>139</v>
      </c>
      <c r="C76" t="s">
        <v>140</v>
      </c>
      <c r="D76" t="s">
        <v>35</v>
      </c>
      <c r="E76" t="s">
        <v>47</v>
      </c>
      <c r="F76">
        <v>1994</v>
      </c>
      <c r="K76" s="14" t="s">
        <v>771</v>
      </c>
      <c r="L76" t="s">
        <v>383</v>
      </c>
      <c r="M76" t="s">
        <v>115</v>
      </c>
      <c r="N76" t="s">
        <v>116</v>
      </c>
      <c r="O76" t="s">
        <v>7</v>
      </c>
      <c r="P76" t="s">
        <v>14</v>
      </c>
      <c r="Q76">
        <v>2001</v>
      </c>
      <c r="S76" s="37" t="str">
        <f t="shared" si="22"/>
        <v>INSERT INTO Tab1_Joueurs VALUES ('1989EspAlb', 'Alba', 'Jordi', 'Défenseur', 'Espagne', '1989');</v>
      </c>
      <c r="T76">
        <f t="shared" si="16"/>
        <v>10</v>
      </c>
      <c r="U76">
        <f t="shared" si="17"/>
        <v>7</v>
      </c>
      <c r="V76">
        <f t="shared" si="18"/>
        <v>7</v>
      </c>
      <c r="W76">
        <f t="shared" si="19"/>
        <v>9</v>
      </c>
      <c r="X76">
        <f t="shared" si="20"/>
        <v>7</v>
      </c>
      <c r="Y76">
        <f t="shared" si="21"/>
        <v>4</v>
      </c>
    </row>
    <row r="77" spans="1:25" x14ac:dyDescent="0.35">
      <c r="A77" t="s">
        <v>406</v>
      </c>
      <c r="B77" t="s">
        <v>82</v>
      </c>
      <c r="C77" t="s">
        <v>83</v>
      </c>
      <c r="D77" t="s">
        <v>25</v>
      </c>
      <c r="E77" t="s">
        <v>47</v>
      </c>
      <c r="F77">
        <v>1996</v>
      </c>
      <c r="K77" s="14" t="s">
        <v>772</v>
      </c>
      <c r="L77" t="s">
        <v>384</v>
      </c>
      <c r="M77" t="s">
        <v>295</v>
      </c>
      <c r="N77" t="s">
        <v>295</v>
      </c>
      <c r="O77" t="s">
        <v>7</v>
      </c>
      <c r="P77" t="s">
        <v>14</v>
      </c>
      <c r="Q77">
        <v>2007</v>
      </c>
      <c r="S77" s="37" t="str">
        <f t="shared" si="22"/>
        <v>INSERT INTO Tab1_Joueurs VALUES ('1994EspLap', 'Laporte', 'Aymeric', 'Défenseur', 'Espagne', '1994');</v>
      </c>
      <c r="T77">
        <f t="shared" si="16"/>
        <v>10</v>
      </c>
      <c r="U77">
        <f t="shared" si="17"/>
        <v>5</v>
      </c>
      <c r="V77">
        <f t="shared" si="18"/>
        <v>9</v>
      </c>
      <c r="W77">
        <f t="shared" si="19"/>
        <v>6</v>
      </c>
      <c r="X77">
        <f t="shared" si="20"/>
        <v>7</v>
      </c>
      <c r="Y77">
        <f t="shared" si="21"/>
        <v>4</v>
      </c>
    </row>
    <row r="78" spans="1:25" x14ac:dyDescent="0.35">
      <c r="A78" t="s">
        <v>407</v>
      </c>
      <c r="B78" t="s">
        <v>226</v>
      </c>
      <c r="C78" t="s">
        <v>227</v>
      </c>
      <c r="D78" t="s">
        <v>25</v>
      </c>
      <c r="E78" t="s">
        <v>47</v>
      </c>
      <c r="F78">
        <v>1999</v>
      </c>
      <c r="K78" s="14" t="s">
        <v>773</v>
      </c>
      <c r="L78" t="s">
        <v>385</v>
      </c>
      <c r="M78" t="s">
        <v>155</v>
      </c>
      <c r="N78" t="s">
        <v>156</v>
      </c>
      <c r="O78" t="s">
        <v>7</v>
      </c>
      <c r="P78" t="s">
        <v>132</v>
      </c>
      <c r="Q78">
        <v>1982</v>
      </c>
      <c r="S78" s="37" t="str">
        <f t="shared" si="22"/>
        <v>INSERT INTO Tab1_Joueurs VALUES ('1996EspRod', 'Rodri', 'Hernández', 'Milieu', 'Espagne', '1996');</v>
      </c>
      <c r="T78">
        <f t="shared" si="16"/>
        <v>10</v>
      </c>
      <c r="U78">
        <f t="shared" si="17"/>
        <v>4</v>
      </c>
      <c r="V78">
        <f t="shared" si="18"/>
        <v>4</v>
      </c>
      <c r="W78">
        <f t="shared" si="19"/>
        <v>6</v>
      </c>
      <c r="X78">
        <f t="shared" si="20"/>
        <v>7</v>
      </c>
      <c r="Y78">
        <f t="shared" si="21"/>
        <v>4</v>
      </c>
    </row>
    <row r="79" spans="1:25" x14ac:dyDescent="0.35">
      <c r="A79" t="s">
        <v>408</v>
      </c>
      <c r="B79" t="s">
        <v>267</v>
      </c>
      <c r="C79" t="s">
        <v>268</v>
      </c>
      <c r="D79" t="s">
        <v>25</v>
      </c>
      <c r="E79" t="s">
        <v>47</v>
      </c>
      <c r="F79">
        <v>2002</v>
      </c>
      <c r="K79" s="14" t="s">
        <v>774</v>
      </c>
      <c r="L79" t="s">
        <v>386</v>
      </c>
      <c r="M79" t="s">
        <v>130</v>
      </c>
      <c r="N79" t="s">
        <v>131</v>
      </c>
      <c r="O79" t="s">
        <v>42</v>
      </c>
      <c r="P79" t="s">
        <v>132</v>
      </c>
      <c r="Q79">
        <v>1996</v>
      </c>
      <c r="S79" s="37" t="str">
        <f t="shared" si="22"/>
        <v>INSERT INTO Tab1_Joueurs VALUES ('1999EspOlm', 'Olmo', 'Dani', 'Milieu', 'Espagne', '1999');</v>
      </c>
      <c r="T79">
        <f t="shared" si="16"/>
        <v>10</v>
      </c>
      <c r="U79">
        <f t="shared" si="17"/>
        <v>3</v>
      </c>
      <c r="V79">
        <f t="shared" si="18"/>
        <v>5</v>
      </c>
      <c r="W79">
        <f t="shared" si="19"/>
        <v>6</v>
      </c>
      <c r="X79">
        <f t="shared" si="20"/>
        <v>7</v>
      </c>
      <c r="Y79">
        <f t="shared" si="21"/>
        <v>4</v>
      </c>
    </row>
    <row r="80" spans="1:25" x14ac:dyDescent="0.35">
      <c r="A80" t="s">
        <v>409</v>
      </c>
      <c r="B80" t="s">
        <v>299</v>
      </c>
      <c r="C80" t="s">
        <v>300</v>
      </c>
      <c r="D80" t="s">
        <v>7</v>
      </c>
      <c r="E80" t="s">
        <v>47</v>
      </c>
      <c r="F80">
        <v>2002</v>
      </c>
      <c r="K80" s="14" t="s">
        <v>775</v>
      </c>
      <c r="L80" t="s">
        <v>387</v>
      </c>
      <c r="M80" t="s">
        <v>273</v>
      </c>
      <c r="N80" t="s">
        <v>274</v>
      </c>
      <c r="O80" t="s">
        <v>35</v>
      </c>
      <c r="P80" t="s">
        <v>275</v>
      </c>
      <c r="Q80">
        <v>2001</v>
      </c>
      <c r="S80" s="37" t="str">
        <f t="shared" si="22"/>
        <v>INSERT INTO Tab1_Joueurs VALUES ('2002EspGil', 'Gil', 'Bryan', 'Milieu', 'Espagne', '2002');</v>
      </c>
      <c r="T80">
        <f t="shared" si="16"/>
        <v>10</v>
      </c>
      <c r="U80">
        <f t="shared" si="17"/>
        <v>4</v>
      </c>
      <c r="V80">
        <f t="shared" si="18"/>
        <v>4</v>
      </c>
      <c r="W80">
        <f t="shared" si="19"/>
        <v>9</v>
      </c>
      <c r="X80">
        <f t="shared" si="20"/>
        <v>7</v>
      </c>
      <c r="Y80">
        <f t="shared" si="21"/>
        <v>4</v>
      </c>
    </row>
    <row r="81" spans="1:25" x14ac:dyDescent="0.35">
      <c r="A81" t="s">
        <v>410</v>
      </c>
      <c r="B81" t="s">
        <v>232</v>
      </c>
      <c r="C81" t="s">
        <v>233</v>
      </c>
      <c r="D81" t="s">
        <v>7</v>
      </c>
      <c r="E81" t="s">
        <v>47</v>
      </c>
      <c r="F81">
        <v>2003</v>
      </c>
      <c r="K81" s="14" t="s">
        <v>776</v>
      </c>
      <c r="L81" t="s">
        <v>388</v>
      </c>
      <c r="M81" t="s">
        <v>87</v>
      </c>
      <c r="N81" t="s">
        <v>88</v>
      </c>
      <c r="O81" t="s">
        <v>7</v>
      </c>
      <c r="P81" t="s">
        <v>502</v>
      </c>
      <c r="Q81">
        <v>1992</v>
      </c>
      <c r="S81" s="37" t="str">
        <f t="shared" si="22"/>
        <v>INSERT INTO Tab1_Joueurs VALUES ('2002EspRic', 'Rico', 'Nico', 'Attaquant', 'Espagne', '2002');</v>
      </c>
      <c r="T81">
        <f t="shared" si="16"/>
        <v>10</v>
      </c>
      <c r="U81">
        <f t="shared" si="17"/>
        <v>4</v>
      </c>
      <c r="V81">
        <f t="shared" si="18"/>
        <v>4</v>
      </c>
      <c r="W81">
        <f t="shared" si="19"/>
        <v>9</v>
      </c>
      <c r="X81">
        <f t="shared" si="20"/>
        <v>7</v>
      </c>
      <c r="Y81">
        <f t="shared" si="21"/>
        <v>4</v>
      </c>
    </row>
    <row r="82" spans="1:25" x14ac:dyDescent="0.35">
      <c r="A82" t="s">
        <v>411</v>
      </c>
      <c r="B82" t="s">
        <v>109</v>
      </c>
      <c r="C82" t="s">
        <v>110</v>
      </c>
      <c r="D82" t="s">
        <v>25</v>
      </c>
      <c r="E82" t="s">
        <v>47</v>
      </c>
      <c r="F82">
        <v>2003</v>
      </c>
      <c r="K82" s="14" t="s">
        <v>777</v>
      </c>
      <c r="L82" t="s">
        <v>389</v>
      </c>
      <c r="M82" t="s">
        <v>316</v>
      </c>
      <c r="N82" t="s">
        <v>317</v>
      </c>
      <c r="O82" t="s">
        <v>42</v>
      </c>
      <c r="P82" t="s">
        <v>500</v>
      </c>
      <c r="Q82">
        <v>1987</v>
      </c>
      <c r="S82" s="37" t="str">
        <f t="shared" si="22"/>
        <v>INSERT INTO Tab1_Joueurs VALUES ('2003EspFat', 'Fati', 'Ansu', 'Attaquant', 'Espagne', '2003');</v>
      </c>
      <c r="T82">
        <f t="shared" si="16"/>
        <v>10</v>
      </c>
      <c r="U82">
        <f t="shared" si="17"/>
        <v>5</v>
      </c>
      <c r="V82">
        <f t="shared" si="18"/>
        <v>5</v>
      </c>
      <c r="W82">
        <f t="shared" si="19"/>
        <v>6</v>
      </c>
      <c r="X82">
        <f t="shared" si="20"/>
        <v>7</v>
      </c>
      <c r="Y82">
        <f t="shared" si="21"/>
        <v>4</v>
      </c>
    </row>
    <row r="83" spans="1:25" x14ac:dyDescent="0.35">
      <c r="A83" t="s">
        <v>412</v>
      </c>
      <c r="B83" t="s">
        <v>287</v>
      </c>
      <c r="C83" t="s">
        <v>243</v>
      </c>
      <c r="D83" t="s">
        <v>35</v>
      </c>
      <c r="E83" t="s">
        <v>47</v>
      </c>
      <c r="F83">
        <v>2004</v>
      </c>
      <c r="K83" s="14" t="s">
        <v>778</v>
      </c>
      <c r="L83" t="s">
        <v>390</v>
      </c>
      <c r="M83" t="s">
        <v>265</v>
      </c>
      <c r="N83" t="s">
        <v>266</v>
      </c>
      <c r="O83" t="s">
        <v>25</v>
      </c>
      <c r="P83" t="s">
        <v>501</v>
      </c>
      <c r="Q83">
        <v>2002</v>
      </c>
      <c r="S83" s="37" t="str">
        <f t="shared" si="22"/>
        <v>INSERT INTO Tab1_Joueurs VALUES ('2003EspPed', 'Pedri', 'Pedro', 'Milieu', 'Espagne', '2003');</v>
      </c>
      <c r="T83">
        <f t="shared" si="16"/>
        <v>10</v>
      </c>
      <c r="U83">
        <f t="shared" si="17"/>
        <v>5</v>
      </c>
      <c r="V83">
        <f t="shared" si="18"/>
        <v>9</v>
      </c>
      <c r="W83">
        <f t="shared" si="19"/>
        <v>9</v>
      </c>
      <c r="X83">
        <f t="shared" si="20"/>
        <v>7</v>
      </c>
      <c r="Y83">
        <f t="shared" si="21"/>
        <v>4</v>
      </c>
    </row>
    <row r="84" spans="1:25" x14ac:dyDescent="0.35">
      <c r="A84" t="s">
        <v>413</v>
      </c>
      <c r="B84" t="s">
        <v>288</v>
      </c>
      <c r="C84" t="s">
        <v>289</v>
      </c>
      <c r="D84" t="s">
        <v>7</v>
      </c>
      <c r="E84" t="s">
        <v>47</v>
      </c>
      <c r="F84">
        <v>2004</v>
      </c>
      <c r="K84" s="14" t="s">
        <v>779</v>
      </c>
      <c r="L84" t="s">
        <v>391</v>
      </c>
      <c r="M84" t="s">
        <v>271</v>
      </c>
      <c r="N84" t="s">
        <v>272</v>
      </c>
      <c r="O84" t="s">
        <v>35</v>
      </c>
      <c r="P84" t="s">
        <v>501</v>
      </c>
      <c r="Q84">
        <v>2002</v>
      </c>
      <c r="S84" s="37" t="str">
        <f t="shared" si="22"/>
        <v>INSERT INTO Tab1_Joueurs VALUES ('2004EspBal', 'Balde', 'Alejandro', 'Défenseur', 'Espagne', '2004');</v>
      </c>
      <c r="T84">
        <f t="shared" si="16"/>
        <v>10</v>
      </c>
      <c r="U84">
        <f t="shared" si="17"/>
        <v>4</v>
      </c>
      <c r="V84">
        <f t="shared" si="18"/>
        <v>6</v>
      </c>
      <c r="W84">
        <f t="shared" si="19"/>
        <v>9</v>
      </c>
      <c r="X84">
        <f t="shared" si="20"/>
        <v>7</v>
      </c>
      <c r="Y84">
        <f t="shared" si="21"/>
        <v>4</v>
      </c>
    </row>
    <row r="85" spans="1:25" x14ac:dyDescent="0.35">
      <c r="A85" t="s">
        <v>414</v>
      </c>
      <c r="B85" t="s">
        <v>224</v>
      </c>
      <c r="C85" t="s">
        <v>225</v>
      </c>
      <c r="D85" t="s">
        <v>25</v>
      </c>
      <c r="E85" t="s">
        <v>47</v>
      </c>
      <c r="F85">
        <v>2005</v>
      </c>
      <c r="K85" s="14" t="s">
        <v>780</v>
      </c>
      <c r="L85" t="s">
        <v>392</v>
      </c>
      <c r="M85" t="s">
        <v>23</v>
      </c>
      <c r="N85" t="s">
        <v>24</v>
      </c>
      <c r="O85" t="s">
        <v>25</v>
      </c>
      <c r="P85" t="s">
        <v>26</v>
      </c>
      <c r="Q85">
        <v>1986</v>
      </c>
      <c r="S85" s="37" t="str">
        <f t="shared" si="22"/>
        <v>INSERT INTO Tab1_Joueurs VALUES ('2004EspPin', 'Pino', 'Yeremy', 'Attaquant', 'Espagne', '2004');</v>
      </c>
      <c r="T85">
        <f t="shared" si="16"/>
        <v>10</v>
      </c>
      <c r="U85">
        <f t="shared" si="17"/>
        <v>4</v>
      </c>
      <c r="V85">
        <f t="shared" si="18"/>
        <v>5</v>
      </c>
      <c r="W85">
        <f t="shared" si="19"/>
        <v>6</v>
      </c>
      <c r="X85">
        <f t="shared" si="20"/>
        <v>7</v>
      </c>
      <c r="Y85">
        <f t="shared" si="21"/>
        <v>4</v>
      </c>
    </row>
    <row r="86" spans="1:25" x14ac:dyDescent="0.35">
      <c r="A86" t="s">
        <v>415</v>
      </c>
      <c r="B86" t="s">
        <v>222</v>
      </c>
      <c r="C86" t="s">
        <v>223</v>
      </c>
      <c r="D86" t="s">
        <v>7</v>
      </c>
      <c r="E86" t="s">
        <v>47</v>
      </c>
      <c r="F86">
        <v>2008</v>
      </c>
      <c r="K86" s="14" t="s">
        <v>781</v>
      </c>
      <c r="L86" t="s">
        <v>393</v>
      </c>
      <c r="M86" t="s">
        <v>324</v>
      </c>
      <c r="N86" t="s">
        <v>248</v>
      </c>
      <c r="O86" t="s">
        <v>42</v>
      </c>
      <c r="P86" t="s">
        <v>26</v>
      </c>
      <c r="Q86">
        <v>1995</v>
      </c>
      <c r="S86" s="37" t="str">
        <f t="shared" si="22"/>
        <v>INSERT INTO Tab1_Joueurs VALUES ('2005EspGav', 'Gavi', 'Pablo', 'Milieu', 'Espagne', '2005');</v>
      </c>
      <c r="T86">
        <f t="shared" si="16"/>
        <v>10</v>
      </c>
      <c r="U86">
        <f t="shared" si="17"/>
        <v>5</v>
      </c>
      <c r="V86">
        <f t="shared" si="18"/>
        <v>6</v>
      </c>
      <c r="W86">
        <f t="shared" si="19"/>
        <v>9</v>
      </c>
      <c r="X86">
        <f t="shared" si="20"/>
        <v>7</v>
      </c>
      <c r="Y86">
        <f t="shared" si="21"/>
        <v>4</v>
      </c>
    </row>
    <row r="87" spans="1:25" x14ac:dyDescent="0.35">
      <c r="A87" t="s">
        <v>416</v>
      </c>
      <c r="B87" t="s">
        <v>239</v>
      </c>
      <c r="C87" t="s">
        <v>240</v>
      </c>
      <c r="D87" t="s">
        <v>7</v>
      </c>
      <c r="E87" t="s">
        <v>241</v>
      </c>
      <c r="F87">
        <v>2002</v>
      </c>
      <c r="K87" s="14" t="s">
        <v>782</v>
      </c>
      <c r="L87" t="s">
        <v>394</v>
      </c>
      <c r="M87" t="s">
        <v>258</v>
      </c>
      <c r="N87" t="s">
        <v>259</v>
      </c>
      <c r="O87" t="s">
        <v>35</v>
      </c>
      <c r="P87" t="s">
        <v>26</v>
      </c>
      <c r="Q87">
        <v>2002</v>
      </c>
      <c r="S87" s="37" t="str">
        <f t="shared" si="22"/>
        <v>INSERT INTO Tab1_Joueurs VALUES ('2008EspYam', 'Yamal', 'Lamine', 'Attaquant', 'Espagne', '2008');</v>
      </c>
      <c r="T87">
        <f t="shared" si="16"/>
        <v>10</v>
      </c>
      <c r="U87">
        <f t="shared" si="17"/>
        <v>7</v>
      </c>
      <c r="V87">
        <f t="shared" si="18"/>
        <v>7</v>
      </c>
      <c r="W87">
        <f t="shared" si="19"/>
        <v>9</v>
      </c>
      <c r="X87">
        <f t="shared" si="20"/>
        <v>10</v>
      </c>
      <c r="Y87">
        <f t="shared" si="21"/>
        <v>4</v>
      </c>
    </row>
    <row r="88" spans="1:25" x14ac:dyDescent="0.35">
      <c r="A88" t="s">
        <v>417</v>
      </c>
      <c r="B88" t="s">
        <v>133</v>
      </c>
      <c r="C88" t="s">
        <v>134</v>
      </c>
      <c r="D88" t="s">
        <v>42</v>
      </c>
      <c r="E88" t="s">
        <v>17</v>
      </c>
      <c r="F88">
        <v>1987</v>
      </c>
      <c r="K88" s="14" t="s">
        <v>783</v>
      </c>
      <c r="L88" t="s">
        <v>395</v>
      </c>
      <c r="M88" t="s">
        <v>250</v>
      </c>
      <c r="N88" t="s">
        <v>251</v>
      </c>
      <c r="O88" t="s">
        <v>7</v>
      </c>
      <c r="P88" t="s">
        <v>252</v>
      </c>
      <c r="Q88">
        <v>2003</v>
      </c>
      <c r="S88" s="37" t="str">
        <f t="shared" si="22"/>
        <v>INSERT INTO Tab1_Joueurs VALUES ('2002ÉtaBal', 'Balogun', 'Folarin', 'Attaquant', 'États-Unis', '2002');</v>
      </c>
      <c r="T88">
        <f t="shared" si="16"/>
        <v>10</v>
      </c>
      <c r="U88">
        <f t="shared" si="17"/>
        <v>6</v>
      </c>
      <c r="V88">
        <f t="shared" si="18"/>
        <v>4</v>
      </c>
      <c r="W88">
        <f t="shared" si="19"/>
        <v>7</v>
      </c>
      <c r="X88">
        <f t="shared" si="20"/>
        <v>6</v>
      </c>
      <c r="Y88">
        <f t="shared" si="21"/>
        <v>4</v>
      </c>
    </row>
    <row r="89" spans="1:25" x14ac:dyDescent="0.35">
      <c r="A89" t="s">
        <v>418</v>
      </c>
      <c r="B89" t="s">
        <v>21</v>
      </c>
      <c r="C89" t="s">
        <v>22</v>
      </c>
      <c r="D89" t="s">
        <v>7</v>
      </c>
      <c r="E89" t="s">
        <v>17</v>
      </c>
      <c r="F89">
        <v>1988</v>
      </c>
      <c r="K89" s="14" t="s">
        <v>784</v>
      </c>
      <c r="L89" t="s">
        <v>396</v>
      </c>
      <c r="M89" t="s">
        <v>143</v>
      </c>
      <c r="N89" t="s">
        <v>144</v>
      </c>
      <c r="O89" t="s">
        <v>35</v>
      </c>
      <c r="P89" t="s">
        <v>145</v>
      </c>
      <c r="Q89">
        <v>1994</v>
      </c>
      <c r="S89" s="37" t="str">
        <f t="shared" si="22"/>
        <v>INSERT INTO Tab1_Joueurs VALUES ('1987FraLlo', 'Lloris', 'Hugo', 'Gardien', 'France', '1987');</v>
      </c>
      <c r="T89">
        <f t="shared" si="16"/>
        <v>10</v>
      </c>
      <c r="U89">
        <f t="shared" si="17"/>
        <v>7</v>
      </c>
      <c r="V89">
        <f t="shared" si="18"/>
        <v>5</v>
      </c>
      <c r="W89">
        <f t="shared" si="19"/>
        <v>9</v>
      </c>
      <c r="X89">
        <f t="shared" si="20"/>
        <v>6</v>
      </c>
      <c r="Y89">
        <f t="shared" si="21"/>
        <v>4</v>
      </c>
    </row>
    <row r="90" spans="1:25" x14ac:dyDescent="0.35">
      <c r="A90" t="s">
        <v>419</v>
      </c>
      <c r="B90" t="s">
        <v>55</v>
      </c>
      <c r="C90" t="s">
        <v>56</v>
      </c>
      <c r="D90" t="s">
        <v>7</v>
      </c>
      <c r="E90" t="s">
        <v>17</v>
      </c>
      <c r="F90">
        <v>1991</v>
      </c>
      <c r="K90" s="14" t="s">
        <v>785</v>
      </c>
      <c r="L90" t="s">
        <v>397</v>
      </c>
      <c r="M90" t="s">
        <v>30</v>
      </c>
      <c r="N90" t="s">
        <v>31</v>
      </c>
      <c r="O90" t="s">
        <v>7</v>
      </c>
      <c r="P90" t="s">
        <v>32</v>
      </c>
      <c r="Q90">
        <v>1992</v>
      </c>
      <c r="S90" s="37" t="str">
        <f t="shared" si="22"/>
        <v>INSERT INTO Tab1_Joueurs VALUES ('1988FraBen', 'Benzema', 'Karim', 'Attaquant', 'France', '1988');</v>
      </c>
      <c r="T90">
        <f t="shared" si="16"/>
        <v>10</v>
      </c>
      <c r="U90">
        <f t="shared" si="17"/>
        <v>9</v>
      </c>
      <c r="V90">
        <f t="shared" si="18"/>
        <v>7</v>
      </c>
      <c r="W90">
        <f t="shared" si="19"/>
        <v>9</v>
      </c>
      <c r="X90">
        <f t="shared" si="20"/>
        <v>6</v>
      </c>
      <c r="Y90">
        <f t="shared" si="21"/>
        <v>4</v>
      </c>
    </row>
    <row r="91" spans="1:25" x14ac:dyDescent="0.35">
      <c r="A91" t="s">
        <v>420</v>
      </c>
      <c r="B91" t="s">
        <v>53</v>
      </c>
      <c r="C91" t="s">
        <v>54</v>
      </c>
      <c r="D91" t="s">
        <v>25</v>
      </c>
      <c r="E91" t="s">
        <v>17</v>
      </c>
      <c r="F91">
        <v>1991</v>
      </c>
      <c r="K91" s="14" t="s">
        <v>786</v>
      </c>
      <c r="L91" t="s">
        <v>398</v>
      </c>
      <c r="M91" t="s">
        <v>236</v>
      </c>
      <c r="N91" t="s">
        <v>237</v>
      </c>
      <c r="O91" t="s">
        <v>35</v>
      </c>
      <c r="P91" t="s">
        <v>238</v>
      </c>
      <c r="Q91">
        <v>2003</v>
      </c>
      <c r="S91" s="37" t="str">
        <f t="shared" si="22"/>
        <v>INSERT INTO Tab1_Joueurs VALUES ('1991FraGri', 'Griezmann', 'Antoine', 'Attaquant', 'France', '1991');</v>
      </c>
      <c r="T91">
        <f t="shared" si="16"/>
        <v>10</v>
      </c>
      <c r="U91">
        <f t="shared" si="17"/>
        <v>5</v>
      </c>
      <c r="V91">
        <f t="shared" si="18"/>
        <v>6</v>
      </c>
      <c r="W91">
        <f t="shared" si="19"/>
        <v>6</v>
      </c>
      <c r="X91">
        <f t="shared" si="20"/>
        <v>6</v>
      </c>
      <c r="Y91">
        <f t="shared" si="21"/>
        <v>4</v>
      </c>
    </row>
    <row r="92" spans="1:25" x14ac:dyDescent="0.35">
      <c r="A92" t="s">
        <v>421</v>
      </c>
      <c r="B92" t="s">
        <v>51</v>
      </c>
      <c r="C92" t="s">
        <v>52</v>
      </c>
      <c r="D92" t="s">
        <v>25</v>
      </c>
      <c r="E92" t="s">
        <v>17</v>
      </c>
      <c r="F92">
        <v>1993</v>
      </c>
      <c r="K92" s="14" t="s">
        <v>787</v>
      </c>
      <c r="L92" t="s">
        <v>399</v>
      </c>
      <c r="M92" t="s">
        <v>153</v>
      </c>
      <c r="N92" t="s">
        <v>154</v>
      </c>
      <c r="O92" t="s">
        <v>25</v>
      </c>
      <c r="P92" t="s">
        <v>47</v>
      </c>
      <c r="Q92">
        <v>1981</v>
      </c>
      <c r="S92" s="37" t="str">
        <f t="shared" si="22"/>
        <v>INSERT INTO Tab1_Joueurs VALUES ('1991FraKan', 'Kanté', 'N'Golo', 'Milieu', 'France', '1991');</v>
      </c>
      <c r="T92">
        <f t="shared" si="16"/>
        <v>10</v>
      </c>
      <c r="U92">
        <f t="shared" si="17"/>
        <v>5</v>
      </c>
      <c r="V92">
        <f t="shared" si="18"/>
        <v>4</v>
      </c>
      <c r="W92">
        <f t="shared" si="19"/>
        <v>6</v>
      </c>
      <c r="X92">
        <f t="shared" si="20"/>
        <v>6</v>
      </c>
      <c r="Y92">
        <f t="shared" si="21"/>
        <v>4</v>
      </c>
    </row>
    <row r="93" spans="1:25" x14ac:dyDescent="0.35">
      <c r="A93" t="s">
        <v>422</v>
      </c>
      <c r="B93" t="s">
        <v>137</v>
      </c>
      <c r="C93" t="s">
        <v>138</v>
      </c>
      <c r="D93" t="s">
        <v>35</v>
      </c>
      <c r="E93" t="s">
        <v>17</v>
      </c>
      <c r="F93">
        <v>1993</v>
      </c>
      <c r="K93" s="14" t="s">
        <v>788</v>
      </c>
      <c r="L93" t="s">
        <v>400</v>
      </c>
      <c r="M93" t="s">
        <v>151</v>
      </c>
      <c r="N93" t="s">
        <v>152</v>
      </c>
      <c r="O93" t="s">
        <v>25</v>
      </c>
      <c r="P93" t="s">
        <v>47</v>
      </c>
      <c r="Q93">
        <v>1984</v>
      </c>
      <c r="S93" s="37" t="str">
        <f t="shared" si="22"/>
        <v>INSERT INTO Tab1_Joueurs VALUES ('1993FraPog', 'Pogba', 'Paul', 'Milieu', 'France', '1993');</v>
      </c>
      <c r="T93">
        <f t="shared" si="16"/>
        <v>10</v>
      </c>
      <c r="U93">
        <f t="shared" si="17"/>
        <v>6</v>
      </c>
      <c r="V93">
        <f t="shared" si="18"/>
        <v>7</v>
      </c>
      <c r="W93">
        <f t="shared" si="19"/>
        <v>9</v>
      </c>
      <c r="X93">
        <f t="shared" si="20"/>
        <v>6</v>
      </c>
      <c r="Y93">
        <f t="shared" si="21"/>
        <v>4</v>
      </c>
    </row>
    <row r="94" spans="1:25" x14ac:dyDescent="0.35">
      <c r="A94" t="s">
        <v>423</v>
      </c>
      <c r="B94" t="s">
        <v>135</v>
      </c>
      <c r="C94" t="s">
        <v>136</v>
      </c>
      <c r="D94" t="s">
        <v>25</v>
      </c>
      <c r="E94" t="s">
        <v>17</v>
      </c>
      <c r="F94">
        <v>1995</v>
      </c>
      <c r="K94" s="14" t="s">
        <v>789</v>
      </c>
      <c r="L94" t="s">
        <v>401</v>
      </c>
      <c r="M94" t="s">
        <v>45</v>
      </c>
      <c r="N94" t="s">
        <v>46</v>
      </c>
      <c r="O94" t="s">
        <v>35</v>
      </c>
      <c r="P94" t="s">
        <v>47</v>
      </c>
      <c r="Q94">
        <v>1986</v>
      </c>
      <c r="S94" s="37" t="str">
        <f t="shared" si="22"/>
        <v>INSERT INTO Tab1_Joueurs VALUES ('1993FraVar', 'Varane', 'Raphaël', 'Défenseur', 'France', '1993');</v>
      </c>
      <c r="T94">
        <f t="shared" si="16"/>
        <v>10</v>
      </c>
      <c r="U94">
        <f t="shared" si="17"/>
        <v>6</v>
      </c>
      <c r="V94">
        <f t="shared" si="18"/>
        <v>6</v>
      </c>
      <c r="W94">
        <f t="shared" si="19"/>
        <v>6</v>
      </c>
      <c r="X94">
        <f t="shared" si="20"/>
        <v>6</v>
      </c>
      <c r="Y94">
        <f t="shared" si="21"/>
        <v>4</v>
      </c>
    </row>
    <row r="95" spans="1:25" x14ac:dyDescent="0.35">
      <c r="A95" t="s">
        <v>424</v>
      </c>
      <c r="B95" t="s">
        <v>128</v>
      </c>
      <c r="C95" t="s">
        <v>129</v>
      </c>
      <c r="D95" t="s">
        <v>42</v>
      </c>
      <c r="E95" t="s">
        <v>17</v>
      </c>
      <c r="F95">
        <v>1996</v>
      </c>
      <c r="K95" s="14" t="s">
        <v>790</v>
      </c>
      <c r="L95" t="s">
        <v>402</v>
      </c>
      <c r="M95" t="s">
        <v>148</v>
      </c>
      <c r="N95" t="s">
        <v>149</v>
      </c>
      <c r="O95" t="s">
        <v>35</v>
      </c>
      <c r="P95" t="s">
        <v>47</v>
      </c>
      <c r="Q95">
        <v>1987</v>
      </c>
      <c r="S95" s="37" t="str">
        <f t="shared" si="22"/>
        <v>INSERT INTO Tab1_Joueurs VALUES ('1995FraRab', 'Rabiot', 'Adrien', 'Milieu', 'France', '1995');</v>
      </c>
      <c r="T95">
        <f t="shared" si="16"/>
        <v>10</v>
      </c>
      <c r="U95">
        <f t="shared" si="17"/>
        <v>7</v>
      </c>
      <c r="V95">
        <f t="shared" si="18"/>
        <v>4</v>
      </c>
      <c r="W95">
        <f t="shared" si="19"/>
        <v>7</v>
      </c>
      <c r="X95">
        <f t="shared" si="20"/>
        <v>6</v>
      </c>
      <c r="Y95">
        <f t="shared" si="21"/>
        <v>4</v>
      </c>
    </row>
    <row r="96" spans="1:25" x14ac:dyDescent="0.35">
      <c r="A96" t="s">
        <v>425</v>
      </c>
      <c r="B96" t="s">
        <v>205</v>
      </c>
      <c r="C96" t="s">
        <v>206</v>
      </c>
      <c r="D96" t="s">
        <v>7</v>
      </c>
      <c r="E96" t="s">
        <v>17</v>
      </c>
      <c r="F96">
        <v>1997</v>
      </c>
      <c r="K96" s="14" t="s">
        <v>791</v>
      </c>
      <c r="L96" t="s">
        <v>403</v>
      </c>
      <c r="M96" t="s">
        <v>150</v>
      </c>
      <c r="N96" t="s">
        <v>46</v>
      </c>
      <c r="O96" t="s">
        <v>25</v>
      </c>
      <c r="P96" t="s">
        <v>47</v>
      </c>
      <c r="Q96">
        <v>1988</v>
      </c>
      <c r="S96" s="37" t="str">
        <f t="shared" si="22"/>
        <v>INSERT INTO Tab1_Joueurs VALUES ('1996FraMai', 'Maignan', 'Mike', 'Gardien', 'France', '1996');</v>
      </c>
      <c r="T96">
        <f t="shared" si="16"/>
        <v>10</v>
      </c>
      <c r="U96">
        <f t="shared" si="17"/>
        <v>5</v>
      </c>
      <c r="V96">
        <f t="shared" si="18"/>
        <v>8</v>
      </c>
      <c r="W96">
        <f t="shared" si="19"/>
        <v>9</v>
      </c>
      <c r="X96">
        <f t="shared" si="20"/>
        <v>6</v>
      </c>
      <c r="Y96">
        <f t="shared" si="21"/>
        <v>4</v>
      </c>
    </row>
    <row r="97" spans="1:25" x14ac:dyDescent="0.35">
      <c r="A97" t="s">
        <v>426</v>
      </c>
      <c r="B97" t="s">
        <v>213</v>
      </c>
      <c r="C97" t="s">
        <v>214</v>
      </c>
      <c r="D97" t="s">
        <v>35</v>
      </c>
      <c r="E97" t="s">
        <v>17</v>
      </c>
      <c r="F97">
        <v>1998</v>
      </c>
      <c r="K97" s="14" t="s">
        <v>792</v>
      </c>
      <c r="L97" t="s">
        <v>404</v>
      </c>
      <c r="M97" t="s">
        <v>62</v>
      </c>
      <c r="N97" t="s">
        <v>63</v>
      </c>
      <c r="O97" t="s">
        <v>35</v>
      </c>
      <c r="P97" t="s">
        <v>47</v>
      </c>
      <c r="Q97">
        <v>1989</v>
      </c>
      <c r="S97" s="37" t="str">
        <f t="shared" si="22"/>
        <v>INSERT INTO Tab1_Joueurs VALUES ('1997FraCom', 'Coman', 'Kingsley', 'Attaquant', 'France', '1997');</v>
      </c>
      <c r="T97">
        <f t="shared" si="16"/>
        <v>10</v>
      </c>
      <c r="U97">
        <f t="shared" si="17"/>
        <v>9</v>
      </c>
      <c r="V97">
        <f t="shared" si="18"/>
        <v>5</v>
      </c>
      <c r="W97">
        <f t="shared" si="19"/>
        <v>9</v>
      </c>
      <c r="X97">
        <f t="shared" si="20"/>
        <v>6</v>
      </c>
      <c r="Y97">
        <f t="shared" si="21"/>
        <v>4</v>
      </c>
    </row>
    <row r="98" spans="1:25" x14ac:dyDescent="0.35">
      <c r="A98" t="s">
        <v>427</v>
      </c>
      <c r="B98" t="s">
        <v>15</v>
      </c>
      <c r="C98" t="s">
        <v>16</v>
      </c>
      <c r="D98" t="s">
        <v>7</v>
      </c>
      <c r="E98" t="s">
        <v>17</v>
      </c>
      <c r="F98">
        <v>1999</v>
      </c>
      <c r="K98" s="14" t="s">
        <v>793</v>
      </c>
      <c r="L98" t="s">
        <v>405</v>
      </c>
      <c r="M98" t="s">
        <v>139</v>
      </c>
      <c r="N98" t="s">
        <v>140</v>
      </c>
      <c r="O98" t="s">
        <v>35</v>
      </c>
      <c r="P98" t="s">
        <v>47</v>
      </c>
      <c r="Q98">
        <v>1994</v>
      </c>
      <c r="S98" s="37" t="str">
        <f t="shared" si="22"/>
        <v>INSERT INTO Tab1_Joueurs VALUES ('1998FraUpa', 'Upamecano', 'Dayot', 'Défenseur', 'France', '1998');</v>
      </c>
      <c r="T98">
        <f t="shared" ref="T98:T129" si="23">LEN(A98)</f>
        <v>10</v>
      </c>
      <c r="U98">
        <f t="shared" ref="U98:U129" si="24">LEN(B98)</f>
        <v>6</v>
      </c>
      <c r="V98">
        <f t="shared" ref="V98:V129" si="25">LEN(C98)</f>
        <v>6</v>
      </c>
      <c r="W98">
        <f t="shared" ref="W98:W129" si="26">LEN(D98)</f>
        <v>9</v>
      </c>
      <c r="X98">
        <f t="shared" ref="X98:X129" si="27">LEN(E98)</f>
        <v>6</v>
      </c>
      <c r="Y98">
        <f t="shared" ref="Y98:Y129" si="28">LEN(F98)</f>
        <v>4</v>
      </c>
    </row>
    <row r="99" spans="1:25" x14ac:dyDescent="0.35">
      <c r="A99" t="s">
        <v>428</v>
      </c>
      <c r="B99" t="s">
        <v>203</v>
      </c>
      <c r="C99" t="s">
        <v>204</v>
      </c>
      <c r="D99" t="s">
        <v>25</v>
      </c>
      <c r="E99" t="s">
        <v>17</v>
      </c>
      <c r="F99">
        <v>2000</v>
      </c>
      <c r="K99" s="14" t="s">
        <v>794</v>
      </c>
      <c r="L99" t="s">
        <v>406</v>
      </c>
      <c r="M99" t="s">
        <v>82</v>
      </c>
      <c r="N99" t="s">
        <v>83</v>
      </c>
      <c r="O99" t="s">
        <v>25</v>
      </c>
      <c r="P99" t="s">
        <v>47</v>
      </c>
      <c r="Q99">
        <v>1996</v>
      </c>
      <c r="S99" s="37" t="str">
        <f t="shared" ref="S99:S130" si="29">CONCATENATE("INSERT INTO Tab1_Joueurs VALUES ('",A98,$S$1,B98,$S$1,C98,$S$1,D98,$S$1,E98,$S$1,F98,"');")</f>
        <v>INSERT INTO Tab1_Joueurs VALUES ('1999FraMba', 'Mbappé', 'Kylian', 'Attaquant', 'France', '1999');</v>
      </c>
      <c r="T99">
        <f t="shared" si="23"/>
        <v>10</v>
      </c>
      <c r="U99">
        <f t="shared" si="24"/>
        <v>7</v>
      </c>
      <c r="V99">
        <f t="shared" si="25"/>
        <v>7</v>
      </c>
      <c r="W99">
        <f t="shared" si="26"/>
        <v>6</v>
      </c>
      <c r="X99">
        <f t="shared" si="27"/>
        <v>6</v>
      </c>
      <c r="Y99">
        <f t="shared" si="28"/>
        <v>4</v>
      </c>
    </row>
    <row r="100" spans="1:25" x14ac:dyDescent="0.35">
      <c r="A100" t="s">
        <v>429</v>
      </c>
      <c r="B100" t="s">
        <v>215</v>
      </c>
      <c r="C100" t="s">
        <v>216</v>
      </c>
      <c r="D100" t="s">
        <v>35</v>
      </c>
      <c r="E100" t="s">
        <v>17</v>
      </c>
      <c r="F100">
        <v>2000</v>
      </c>
      <c r="K100" s="14" t="s">
        <v>795</v>
      </c>
      <c r="L100" t="s">
        <v>407</v>
      </c>
      <c r="M100" t="s">
        <v>226</v>
      </c>
      <c r="N100" t="s">
        <v>227</v>
      </c>
      <c r="O100" t="s">
        <v>25</v>
      </c>
      <c r="P100" t="s">
        <v>47</v>
      </c>
      <c r="Q100">
        <v>1999</v>
      </c>
      <c r="S100" s="37" t="str">
        <f t="shared" si="29"/>
        <v>INSERT INTO Tab1_Joueurs VALUES ('2000FraDem', 'Dembélé', 'Ousmane', 'Milieu', 'France', '2000');</v>
      </c>
      <c r="T100">
        <f t="shared" si="23"/>
        <v>10</v>
      </c>
      <c r="U100">
        <f t="shared" si="24"/>
        <v>6</v>
      </c>
      <c r="V100">
        <f t="shared" si="25"/>
        <v>8</v>
      </c>
      <c r="W100">
        <f t="shared" si="26"/>
        <v>9</v>
      </c>
      <c r="X100">
        <f t="shared" si="27"/>
        <v>6</v>
      </c>
      <c r="Y100">
        <f t="shared" si="28"/>
        <v>4</v>
      </c>
    </row>
    <row r="101" spans="1:25" x14ac:dyDescent="0.35">
      <c r="A101" t="s">
        <v>430</v>
      </c>
      <c r="B101" t="s">
        <v>207</v>
      </c>
      <c r="C101" t="s">
        <v>208</v>
      </c>
      <c r="D101" t="s">
        <v>25</v>
      </c>
      <c r="E101" t="s">
        <v>17</v>
      </c>
      <c r="F101">
        <v>2001</v>
      </c>
      <c r="K101" s="14" t="s">
        <v>796</v>
      </c>
      <c r="L101" t="s">
        <v>408</v>
      </c>
      <c r="M101" t="s">
        <v>267</v>
      </c>
      <c r="N101" t="s">
        <v>268</v>
      </c>
      <c r="O101" t="s">
        <v>25</v>
      </c>
      <c r="P101" t="s">
        <v>47</v>
      </c>
      <c r="Q101">
        <v>2002</v>
      </c>
      <c r="S101" s="37" t="str">
        <f t="shared" si="29"/>
        <v>INSERT INTO Tab1_Joueurs VALUES ('2000FraKon', 'Konaté', 'Ibrahima', 'Défenseur', 'France', '2000');</v>
      </c>
      <c r="T101">
        <f t="shared" si="23"/>
        <v>10</v>
      </c>
      <c r="U101">
        <f t="shared" si="24"/>
        <v>10</v>
      </c>
      <c r="V101">
        <f t="shared" si="25"/>
        <v>8</v>
      </c>
      <c r="W101">
        <f t="shared" si="26"/>
        <v>6</v>
      </c>
      <c r="X101">
        <f t="shared" si="27"/>
        <v>6</v>
      </c>
      <c r="Y101">
        <f t="shared" si="28"/>
        <v>4</v>
      </c>
    </row>
    <row r="102" spans="1:25" x14ac:dyDescent="0.35">
      <c r="A102" t="s">
        <v>431</v>
      </c>
      <c r="B102" t="s">
        <v>207</v>
      </c>
      <c r="C102" t="s">
        <v>208</v>
      </c>
      <c r="D102" t="s">
        <v>25</v>
      </c>
      <c r="E102" t="s">
        <v>17</v>
      </c>
      <c r="F102">
        <v>2002</v>
      </c>
      <c r="K102" s="14" t="s">
        <v>797</v>
      </c>
      <c r="L102" t="s">
        <v>409</v>
      </c>
      <c r="M102" t="s">
        <v>299</v>
      </c>
      <c r="N102" t="s">
        <v>300</v>
      </c>
      <c r="O102" t="s">
        <v>7</v>
      </c>
      <c r="P102" t="s">
        <v>47</v>
      </c>
      <c r="Q102">
        <v>2002</v>
      </c>
      <c r="S102" s="37" t="str">
        <f t="shared" si="29"/>
        <v>INSERT INTO Tab1_Joueurs VALUES ('2001FraTch', 'Tchouaméni', 'Aurélien', 'Milieu', 'France', '2001');</v>
      </c>
      <c r="T102">
        <f t="shared" si="23"/>
        <v>10</v>
      </c>
      <c r="U102">
        <f t="shared" si="24"/>
        <v>10</v>
      </c>
      <c r="V102">
        <f t="shared" si="25"/>
        <v>8</v>
      </c>
      <c r="W102">
        <f t="shared" si="26"/>
        <v>6</v>
      </c>
      <c r="X102">
        <f t="shared" si="27"/>
        <v>6</v>
      </c>
      <c r="Y102">
        <f t="shared" si="28"/>
        <v>4</v>
      </c>
    </row>
    <row r="103" spans="1:25" x14ac:dyDescent="0.35">
      <c r="A103" t="s">
        <v>432</v>
      </c>
      <c r="B103" t="s">
        <v>209</v>
      </c>
      <c r="C103" t="s">
        <v>210</v>
      </c>
      <c r="D103" t="s">
        <v>25</v>
      </c>
      <c r="E103" t="s">
        <v>17</v>
      </c>
      <c r="F103">
        <v>2003</v>
      </c>
      <c r="K103" s="14" t="s">
        <v>798</v>
      </c>
      <c r="L103" t="s">
        <v>410</v>
      </c>
      <c r="M103" t="s">
        <v>232</v>
      </c>
      <c r="N103" t="s">
        <v>233</v>
      </c>
      <c r="O103" t="s">
        <v>7</v>
      </c>
      <c r="P103" t="s">
        <v>47</v>
      </c>
      <c r="Q103">
        <v>2003</v>
      </c>
      <c r="S103" s="37" t="str">
        <f t="shared" si="29"/>
        <v>INSERT INTO Tab1_Joueurs VALUES ('2002FraTch', 'Tchouaméni', 'Aurélien', 'Milieu', 'France', '2002');</v>
      </c>
      <c r="T103">
        <f t="shared" si="23"/>
        <v>10</v>
      </c>
      <c r="U103">
        <f t="shared" si="24"/>
        <v>9</v>
      </c>
      <c r="V103">
        <f t="shared" si="25"/>
        <v>7</v>
      </c>
      <c r="W103">
        <f t="shared" si="26"/>
        <v>6</v>
      </c>
      <c r="X103">
        <f t="shared" si="27"/>
        <v>6</v>
      </c>
      <c r="Y103">
        <f t="shared" si="28"/>
        <v>4</v>
      </c>
    </row>
    <row r="104" spans="1:25" x14ac:dyDescent="0.35">
      <c r="A104" t="s">
        <v>433</v>
      </c>
      <c r="B104" t="s">
        <v>269</v>
      </c>
      <c r="C104" t="s">
        <v>270</v>
      </c>
      <c r="D104" t="s">
        <v>7</v>
      </c>
      <c r="E104" t="s">
        <v>17</v>
      </c>
      <c r="F104">
        <v>2004</v>
      </c>
      <c r="K104" s="14" t="s">
        <v>799</v>
      </c>
      <c r="L104" t="s">
        <v>411</v>
      </c>
      <c r="M104" t="s">
        <v>109</v>
      </c>
      <c r="N104" t="s">
        <v>110</v>
      </c>
      <c r="O104" t="s">
        <v>25</v>
      </c>
      <c r="P104" t="s">
        <v>47</v>
      </c>
      <c r="Q104">
        <v>2003</v>
      </c>
      <c r="S104" s="37" t="str">
        <f t="shared" si="29"/>
        <v>INSERT INTO Tab1_Joueurs VALUES ('2003FraCam', 'Camavinga', 'Eduardo', 'Milieu', 'France', '2003');</v>
      </c>
      <c r="T104">
        <f t="shared" si="23"/>
        <v>10</v>
      </c>
      <c r="U104">
        <f t="shared" si="24"/>
        <v>6</v>
      </c>
      <c r="V104">
        <f t="shared" si="25"/>
        <v>5</v>
      </c>
      <c r="W104">
        <f t="shared" si="26"/>
        <v>9</v>
      </c>
      <c r="X104">
        <f t="shared" si="27"/>
        <v>6</v>
      </c>
      <c r="Y104">
        <f t="shared" si="28"/>
        <v>4</v>
      </c>
    </row>
    <row r="105" spans="1:25" x14ac:dyDescent="0.35">
      <c r="A105" t="s">
        <v>434</v>
      </c>
      <c r="B105" t="s">
        <v>279</v>
      </c>
      <c r="C105" t="s">
        <v>280</v>
      </c>
      <c r="D105" t="s">
        <v>7</v>
      </c>
      <c r="E105" t="s">
        <v>281</v>
      </c>
      <c r="F105">
        <v>2001</v>
      </c>
      <c r="K105" s="14" t="s">
        <v>800</v>
      </c>
      <c r="L105" t="s">
        <v>412</v>
      </c>
      <c r="M105" t="s">
        <v>287</v>
      </c>
      <c r="N105" t="s">
        <v>243</v>
      </c>
      <c r="O105" t="s">
        <v>35</v>
      </c>
      <c r="P105" t="s">
        <v>47</v>
      </c>
      <c r="Q105">
        <v>2004</v>
      </c>
      <c r="S105" s="37" t="str">
        <f t="shared" si="29"/>
        <v>INSERT INTO Tab1_Joueurs VALUES ('2004FraChe', 'Cherki', 'Rayan', 'Attaquant', 'France', '2004');</v>
      </c>
      <c r="T105">
        <f t="shared" si="23"/>
        <v>10</v>
      </c>
      <c r="U105">
        <f t="shared" si="24"/>
        <v>13</v>
      </c>
      <c r="V105">
        <f t="shared" si="25"/>
        <v>7</v>
      </c>
      <c r="W105">
        <f t="shared" si="26"/>
        <v>9</v>
      </c>
      <c r="X105">
        <f t="shared" si="27"/>
        <v>7</v>
      </c>
      <c r="Y105">
        <f t="shared" si="28"/>
        <v>4</v>
      </c>
    </row>
    <row r="106" spans="1:25" x14ac:dyDescent="0.35">
      <c r="A106" t="s">
        <v>435</v>
      </c>
      <c r="B106" t="s">
        <v>247</v>
      </c>
      <c r="C106" t="s">
        <v>248</v>
      </c>
      <c r="D106" t="s">
        <v>25</v>
      </c>
      <c r="E106" t="s">
        <v>249</v>
      </c>
      <c r="F106">
        <v>2001</v>
      </c>
      <c r="K106" s="14" t="s">
        <v>801</v>
      </c>
      <c r="L106" t="s">
        <v>413</v>
      </c>
      <c r="M106" t="s">
        <v>288</v>
      </c>
      <c r="N106" t="s">
        <v>289</v>
      </c>
      <c r="O106" t="s">
        <v>7</v>
      </c>
      <c r="P106" t="s">
        <v>47</v>
      </c>
      <c r="Q106">
        <v>2004</v>
      </c>
      <c r="S106" s="37" t="str">
        <f t="shared" si="29"/>
        <v>INSERT INTO Tab1_Joueurs VALUES ('2001GéoKva', 'Kvaratskhelia', 'Khvicha', 'Attaquant', 'Géorgie', '2001');</v>
      </c>
      <c r="T106">
        <f t="shared" si="23"/>
        <v>10</v>
      </c>
      <c r="U106">
        <f t="shared" si="24"/>
        <v>10</v>
      </c>
      <c r="V106">
        <f t="shared" si="25"/>
        <v>7</v>
      </c>
      <c r="W106">
        <f t="shared" si="26"/>
        <v>6</v>
      </c>
      <c r="X106">
        <f t="shared" si="27"/>
        <v>7</v>
      </c>
      <c r="Y106">
        <f t="shared" si="28"/>
        <v>4</v>
      </c>
    </row>
    <row r="107" spans="1:25" x14ac:dyDescent="0.35">
      <c r="A107" t="s">
        <v>436</v>
      </c>
      <c r="B107" t="s">
        <v>253</v>
      </c>
      <c r="C107" t="s">
        <v>254</v>
      </c>
      <c r="D107" t="s">
        <v>7</v>
      </c>
      <c r="E107" t="s">
        <v>255</v>
      </c>
      <c r="F107">
        <v>2005</v>
      </c>
      <c r="K107" s="14" t="s">
        <v>802</v>
      </c>
      <c r="L107" t="s">
        <v>414</v>
      </c>
      <c r="M107" t="s">
        <v>224</v>
      </c>
      <c r="N107" t="s">
        <v>225</v>
      </c>
      <c r="O107" t="s">
        <v>25</v>
      </c>
      <c r="P107" t="s">
        <v>47</v>
      </c>
      <c r="Q107">
        <v>2005</v>
      </c>
      <c r="S107" s="37" t="str">
        <f t="shared" si="29"/>
        <v>INSERT INTO Tab1_Joueurs VALUES ('2001HonSzo', 'Szoboszlai', 'Dominik', 'Milieu', 'Hongrie', '2001');</v>
      </c>
      <c r="T107">
        <f t="shared" si="23"/>
        <v>10</v>
      </c>
      <c r="U107">
        <f t="shared" si="24"/>
        <v>8</v>
      </c>
      <c r="V107">
        <f t="shared" si="25"/>
        <v>4</v>
      </c>
      <c r="W107">
        <f t="shared" si="26"/>
        <v>9</v>
      </c>
      <c r="X107">
        <f t="shared" si="27"/>
        <v>7</v>
      </c>
      <c r="Y107">
        <f t="shared" si="28"/>
        <v>4</v>
      </c>
    </row>
    <row r="108" spans="1:25" x14ac:dyDescent="0.35">
      <c r="A108" t="s">
        <v>437</v>
      </c>
      <c r="B108" t="s">
        <v>157</v>
      </c>
      <c r="C108" t="s">
        <v>158</v>
      </c>
      <c r="D108" t="s">
        <v>25</v>
      </c>
      <c r="E108" t="s">
        <v>79</v>
      </c>
      <c r="F108">
        <v>1980</v>
      </c>
      <c r="K108" s="14" t="s">
        <v>803</v>
      </c>
      <c r="L108" t="s">
        <v>415</v>
      </c>
      <c r="M108" t="s">
        <v>222</v>
      </c>
      <c r="N108" t="s">
        <v>223</v>
      </c>
      <c r="O108" t="s">
        <v>7</v>
      </c>
      <c r="P108" t="s">
        <v>47</v>
      </c>
      <c r="Q108">
        <v>2008</v>
      </c>
      <c r="S108" s="37" t="str">
        <f t="shared" si="29"/>
        <v>INSERT INTO Tab1_Joueurs VALUES ('2005IrlFer', 'Ferguson', 'Evan', 'Attaquant', 'Irlande', '2005');</v>
      </c>
      <c r="T108">
        <f t="shared" si="23"/>
        <v>10</v>
      </c>
      <c r="U108">
        <f t="shared" si="24"/>
        <v>5</v>
      </c>
      <c r="V108">
        <f t="shared" si="25"/>
        <v>6</v>
      </c>
      <c r="W108">
        <f t="shared" si="26"/>
        <v>6</v>
      </c>
      <c r="X108">
        <f t="shared" si="27"/>
        <v>6</v>
      </c>
      <c r="Y108">
        <f t="shared" si="28"/>
        <v>4</v>
      </c>
    </row>
    <row r="109" spans="1:25" x14ac:dyDescent="0.35">
      <c r="A109" t="s">
        <v>438</v>
      </c>
      <c r="B109" t="s">
        <v>77</v>
      </c>
      <c r="C109" t="s">
        <v>78</v>
      </c>
      <c r="D109" t="s">
        <v>35</v>
      </c>
      <c r="E109" t="s">
        <v>79</v>
      </c>
      <c r="F109">
        <v>1985</v>
      </c>
      <c r="K109" s="14" t="s">
        <v>804</v>
      </c>
      <c r="L109" t="s">
        <v>416</v>
      </c>
      <c r="M109" t="s">
        <v>239</v>
      </c>
      <c r="N109" t="s">
        <v>240</v>
      </c>
      <c r="O109" t="s">
        <v>7</v>
      </c>
      <c r="P109" t="s">
        <v>241</v>
      </c>
      <c r="Q109">
        <v>2002</v>
      </c>
      <c r="S109" s="37" t="str">
        <f t="shared" si="29"/>
        <v>INSERT INTO Tab1_Joueurs VALUES ('1980ItaPir', 'Pirlo', 'Andrea', 'Milieu', 'Italie', '1980');</v>
      </c>
      <c r="T109">
        <f t="shared" si="23"/>
        <v>10</v>
      </c>
      <c r="U109">
        <f t="shared" si="24"/>
        <v>9</v>
      </c>
      <c r="V109">
        <f t="shared" si="25"/>
        <v>7</v>
      </c>
      <c r="W109">
        <f t="shared" si="26"/>
        <v>9</v>
      </c>
      <c r="X109">
        <f t="shared" si="27"/>
        <v>6</v>
      </c>
      <c r="Y109">
        <f t="shared" si="28"/>
        <v>4</v>
      </c>
    </row>
    <row r="110" spans="1:25" x14ac:dyDescent="0.35">
      <c r="A110" t="s">
        <v>439</v>
      </c>
      <c r="B110" t="s">
        <v>188</v>
      </c>
      <c r="C110" t="s">
        <v>189</v>
      </c>
      <c r="D110" t="s">
        <v>35</v>
      </c>
      <c r="E110" t="s">
        <v>79</v>
      </c>
      <c r="F110">
        <v>1987</v>
      </c>
      <c r="K110" s="14" t="s">
        <v>805</v>
      </c>
      <c r="L110" t="s">
        <v>417</v>
      </c>
      <c r="M110" t="s">
        <v>133</v>
      </c>
      <c r="N110" t="s">
        <v>134</v>
      </c>
      <c r="O110" t="s">
        <v>42</v>
      </c>
      <c r="P110" t="s">
        <v>17</v>
      </c>
      <c r="Q110">
        <v>1987</v>
      </c>
      <c r="S110" s="37" t="str">
        <f t="shared" si="29"/>
        <v>INSERT INTO Tab1_Joueurs VALUES ('1985ItaChi', 'Chiellini', 'Giorgio', 'Défenseur', 'Italie', '1985');</v>
      </c>
      <c r="T110">
        <f t="shared" si="23"/>
        <v>10</v>
      </c>
      <c r="U110">
        <f t="shared" si="24"/>
        <v>7</v>
      </c>
      <c r="V110">
        <f t="shared" si="25"/>
        <v>8</v>
      </c>
      <c r="W110">
        <f t="shared" si="26"/>
        <v>9</v>
      </c>
      <c r="X110">
        <f t="shared" si="27"/>
        <v>6</v>
      </c>
      <c r="Y110">
        <f t="shared" si="28"/>
        <v>4</v>
      </c>
    </row>
    <row r="111" spans="1:25" x14ac:dyDescent="0.35">
      <c r="A111" t="s">
        <v>440</v>
      </c>
      <c r="B111" t="s">
        <v>193</v>
      </c>
      <c r="C111" t="s">
        <v>194</v>
      </c>
      <c r="D111" t="s">
        <v>7</v>
      </c>
      <c r="E111" t="s">
        <v>79</v>
      </c>
      <c r="F111">
        <v>1990</v>
      </c>
      <c r="K111" s="14" t="s">
        <v>806</v>
      </c>
      <c r="L111" t="s">
        <v>418</v>
      </c>
      <c r="M111" t="s">
        <v>21</v>
      </c>
      <c r="N111" t="s">
        <v>22</v>
      </c>
      <c r="O111" t="s">
        <v>7</v>
      </c>
      <c r="P111" t="s">
        <v>17</v>
      </c>
      <c r="Q111">
        <v>1988</v>
      </c>
      <c r="S111" s="37" t="str">
        <f t="shared" si="29"/>
        <v>INSERT INTO Tab1_Joueurs VALUES ('1987ItaBon', 'Bonucci', 'Leonardo', 'Défenseur', 'Italie', '1987');</v>
      </c>
      <c r="T111">
        <f t="shared" si="23"/>
        <v>10</v>
      </c>
      <c r="U111">
        <f t="shared" si="24"/>
        <v>7</v>
      </c>
      <c r="V111">
        <f t="shared" si="25"/>
        <v>7</v>
      </c>
      <c r="W111">
        <f t="shared" si="26"/>
        <v>9</v>
      </c>
      <c r="X111">
        <f t="shared" si="27"/>
        <v>6</v>
      </c>
      <c r="Y111">
        <f t="shared" si="28"/>
        <v>4</v>
      </c>
    </row>
    <row r="112" spans="1:25" x14ac:dyDescent="0.35">
      <c r="A112" t="s">
        <v>441</v>
      </c>
      <c r="B112" t="s">
        <v>182</v>
      </c>
      <c r="C112" t="s">
        <v>183</v>
      </c>
      <c r="D112" t="s">
        <v>25</v>
      </c>
      <c r="E112" t="s">
        <v>79</v>
      </c>
      <c r="F112">
        <v>1992</v>
      </c>
      <c r="K112" s="14" t="s">
        <v>807</v>
      </c>
      <c r="L112" t="s">
        <v>419</v>
      </c>
      <c r="M112" t="s">
        <v>55</v>
      </c>
      <c r="N112" t="s">
        <v>56</v>
      </c>
      <c r="O112" t="s">
        <v>7</v>
      </c>
      <c r="P112" t="s">
        <v>17</v>
      </c>
      <c r="Q112">
        <v>1991</v>
      </c>
      <c r="S112" s="37" t="str">
        <f t="shared" si="29"/>
        <v>INSERT INTO Tab1_Joueurs VALUES ('1990ItaIns', 'Insigne', 'Lorenzo', 'Attaquant', 'Italie', '1990');</v>
      </c>
      <c r="T112">
        <f t="shared" si="23"/>
        <v>10</v>
      </c>
      <c r="U112">
        <f t="shared" si="24"/>
        <v>8</v>
      </c>
      <c r="V112">
        <f t="shared" si="25"/>
        <v>5</v>
      </c>
      <c r="W112">
        <f t="shared" si="26"/>
        <v>6</v>
      </c>
      <c r="X112">
        <f t="shared" si="27"/>
        <v>6</v>
      </c>
      <c r="Y112">
        <f t="shared" si="28"/>
        <v>4</v>
      </c>
    </row>
    <row r="113" spans="1:25" x14ac:dyDescent="0.35">
      <c r="A113" t="s">
        <v>442</v>
      </c>
      <c r="B113" t="s">
        <v>184</v>
      </c>
      <c r="C113" t="s">
        <v>176</v>
      </c>
      <c r="D113" t="s">
        <v>25</v>
      </c>
      <c r="E113" t="s">
        <v>79</v>
      </c>
      <c r="F113">
        <v>1993</v>
      </c>
      <c r="K113" s="14" t="s">
        <v>808</v>
      </c>
      <c r="L113" t="s">
        <v>420</v>
      </c>
      <c r="M113" t="s">
        <v>53</v>
      </c>
      <c r="N113" t="s">
        <v>54</v>
      </c>
      <c r="O113" t="s">
        <v>25</v>
      </c>
      <c r="P113" t="s">
        <v>17</v>
      </c>
      <c r="Q113">
        <v>1991</v>
      </c>
      <c r="S113" s="37" t="str">
        <f t="shared" si="29"/>
        <v>INSERT INTO Tab1_Joueurs VALUES ('1992ItaJor', 'Jorginho', 'Jorge', 'Milieu', 'Italie', '1992');</v>
      </c>
      <c r="T113">
        <f t="shared" si="23"/>
        <v>10</v>
      </c>
      <c r="U113">
        <f t="shared" si="24"/>
        <v>8</v>
      </c>
      <c r="V113">
        <f t="shared" si="25"/>
        <v>5</v>
      </c>
      <c r="W113">
        <f t="shared" si="26"/>
        <v>6</v>
      </c>
      <c r="X113">
        <f t="shared" si="27"/>
        <v>6</v>
      </c>
      <c r="Y113">
        <f t="shared" si="28"/>
        <v>4</v>
      </c>
    </row>
    <row r="114" spans="1:25" x14ac:dyDescent="0.35">
      <c r="A114" t="s">
        <v>443</v>
      </c>
      <c r="B114" t="s">
        <v>192</v>
      </c>
      <c r="C114" t="s">
        <v>189</v>
      </c>
      <c r="D114" t="s">
        <v>35</v>
      </c>
      <c r="E114" t="s">
        <v>79</v>
      </c>
      <c r="F114">
        <v>1994</v>
      </c>
      <c r="K114" s="14" t="s">
        <v>809</v>
      </c>
      <c r="L114" t="s">
        <v>421</v>
      </c>
      <c r="M114" t="s">
        <v>51</v>
      </c>
      <c r="N114" t="s">
        <v>52</v>
      </c>
      <c r="O114" t="s">
        <v>25</v>
      </c>
      <c r="P114" t="s">
        <v>17</v>
      </c>
      <c r="Q114">
        <v>1993</v>
      </c>
      <c r="S114" s="37" t="str">
        <f t="shared" si="29"/>
        <v>INSERT INTO Tab1_Joueurs VALUES ('1993ItaVer', 'Verratti', 'Marco', 'Milieu', 'Italie', '1993');</v>
      </c>
      <c r="T114">
        <f t="shared" si="23"/>
        <v>10</v>
      </c>
      <c r="U114">
        <f t="shared" si="24"/>
        <v>10</v>
      </c>
      <c r="V114">
        <f t="shared" si="25"/>
        <v>8</v>
      </c>
      <c r="W114">
        <f t="shared" si="26"/>
        <v>9</v>
      </c>
      <c r="X114">
        <f t="shared" si="27"/>
        <v>6</v>
      </c>
      <c r="Y114">
        <f t="shared" si="28"/>
        <v>4</v>
      </c>
    </row>
    <row r="115" spans="1:25" x14ac:dyDescent="0.35">
      <c r="A115" t="s">
        <v>444</v>
      </c>
      <c r="B115" t="s">
        <v>220</v>
      </c>
      <c r="C115" t="s">
        <v>221</v>
      </c>
      <c r="D115" t="s">
        <v>25</v>
      </c>
      <c r="E115" t="s">
        <v>79</v>
      </c>
      <c r="F115">
        <v>1997</v>
      </c>
      <c r="K115" s="14" t="s">
        <v>810</v>
      </c>
      <c r="L115" t="s">
        <v>422</v>
      </c>
      <c r="M115" t="s">
        <v>137</v>
      </c>
      <c r="N115" t="s">
        <v>138</v>
      </c>
      <c r="O115" t="s">
        <v>35</v>
      </c>
      <c r="P115" t="s">
        <v>17</v>
      </c>
      <c r="Q115">
        <v>1993</v>
      </c>
      <c r="S115" s="37" t="str">
        <f t="shared" si="29"/>
        <v>INSERT INTO Tab1_Joueurs VALUES ('1994ItaSpi', 'Spinazzola', 'Leonardo', 'Défenseur', 'Italie', '1994');</v>
      </c>
      <c r="T115">
        <f t="shared" si="23"/>
        <v>10</v>
      </c>
      <c r="U115">
        <f t="shared" si="24"/>
        <v>7</v>
      </c>
      <c r="V115">
        <f t="shared" si="25"/>
        <v>6</v>
      </c>
      <c r="W115">
        <f t="shared" si="26"/>
        <v>6</v>
      </c>
      <c r="X115">
        <f t="shared" si="27"/>
        <v>6</v>
      </c>
      <c r="Y115">
        <f t="shared" si="28"/>
        <v>4</v>
      </c>
    </row>
    <row r="116" spans="1:25" x14ac:dyDescent="0.35">
      <c r="A116" t="s">
        <v>445</v>
      </c>
      <c r="B116" t="s">
        <v>121</v>
      </c>
      <c r="C116" t="s">
        <v>114</v>
      </c>
      <c r="D116" t="s">
        <v>7</v>
      </c>
      <c r="E116" t="s">
        <v>79</v>
      </c>
      <c r="F116">
        <v>1998</v>
      </c>
      <c r="K116" s="14" t="s">
        <v>811</v>
      </c>
      <c r="L116" t="s">
        <v>423</v>
      </c>
      <c r="M116" t="s">
        <v>135</v>
      </c>
      <c r="N116" t="s">
        <v>136</v>
      </c>
      <c r="O116" t="s">
        <v>25</v>
      </c>
      <c r="P116" t="s">
        <v>17</v>
      </c>
      <c r="Q116">
        <v>1995</v>
      </c>
      <c r="S116" s="37" t="str">
        <f t="shared" si="29"/>
        <v>INSERT INTO Tab1_Joueurs VALUES ('1997ItaBar', 'Barella', 'Nicolò', 'Milieu', 'Italie', '1997');</v>
      </c>
      <c r="T116">
        <f t="shared" si="23"/>
        <v>10</v>
      </c>
      <c r="U116">
        <f t="shared" si="24"/>
        <v>6</v>
      </c>
      <c r="V116">
        <f t="shared" si="25"/>
        <v>8</v>
      </c>
      <c r="W116">
        <f t="shared" si="26"/>
        <v>9</v>
      </c>
      <c r="X116">
        <f t="shared" si="27"/>
        <v>6</v>
      </c>
      <c r="Y116">
        <f t="shared" si="28"/>
        <v>4</v>
      </c>
    </row>
    <row r="117" spans="1:25" x14ac:dyDescent="0.35">
      <c r="A117" t="s">
        <v>446</v>
      </c>
      <c r="B117" t="s">
        <v>305</v>
      </c>
      <c r="C117" t="s">
        <v>306</v>
      </c>
      <c r="D117" t="s">
        <v>42</v>
      </c>
      <c r="E117" t="s">
        <v>79</v>
      </c>
      <c r="F117">
        <v>1999</v>
      </c>
      <c r="K117" s="14" t="s">
        <v>812</v>
      </c>
      <c r="L117" t="s">
        <v>424</v>
      </c>
      <c r="M117" t="s">
        <v>128</v>
      </c>
      <c r="N117" t="s">
        <v>129</v>
      </c>
      <c r="O117" t="s">
        <v>42</v>
      </c>
      <c r="P117" t="s">
        <v>17</v>
      </c>
      <c r="Q117">
        <v>1996</v>
      </c>
      <c r="S117" s="37" t="str">
        <f t="shared" si="29"/>
        <v>INSERT INTO Tab1_Joueurs VALUES ('1998ItaChi', 'Chiesa', 'Federico', 'Attaquant', 'Italie', '1998');</v>
      </c>
      <c r="T117">
        <f t="shared" si="23"/>
        <v>10</v>
      </c>
      <c r="U117">
        <f t="shared" si="24"/>
        <v>10</v>
      </c>
      <c r="V117">
        <f t="shared" si="25"/>
        <v>9</v>
      </c>
      <c r="W117">
        <f t="shared" si="26"/>
        <v>7</v>
      </c>
      <c r="X117">
        <f t="shared" si="27"/>
        <v>6</v>
      </c>
      <c r="Y117">
        <f t="shared" si="28"/>
        <v>4</v>
      </c>
    </row>
    <row r="118" spans="1:25" x14ac:dyDescent="0.35">
      <c r="A118" t="s">
        <v>447</v>
      </c>
      <c r="B118" t="s">
        <v>263</v>
      </c>
      <c r="C118" t="s">
        <v>263</v>
      </c>
      <c r="D118" t="s">
        <v>35</v>
      </c>
      <c r="E118" t="s">
        <v>79</v>
      </c>
      <c r="F118">
        <v>2003</v>
      </c>
      <c r="K118" s="14" t="s">
        <v>813</v>
      </c>
      <c r="L118" t="s">
        <v>425</v>
      </c>
      <c r="M118" t="s">
        <v>205</v>
      </c>
      <c r="N118" t="s">
        <v>206</v>
      </c>
      <c r="O118" t="s">
        <v>7</v>
      </c>
      <c r="P118" t="s">
        <v>17</v>
      </c>
      <c r="Q118">
        <v>1997</v>
      </c>
      <c r="S118" s="37" t="str">
        <f t="shared" si="29"/>
        <v>INSERT INTO Tab1_Joueurs VALUES ('1999ItaDon', 'Donnarumma', 'Gianluigi', 'Gardien', 'Italie', '1999');</v>
      </c>
      <c r="T118">
        <f t="shared" si="23"/>
        <v>10</v>
      </c>
      <c r="U118">
        <f t="shared" si="24"/>
        <v>7</v>
      </c>
      <c r="V118">
        <f t="shared" si="25"/>
        <v>7</v>
      </c>
      <c r="W118">
        <f t="shared" si="26"/>
        <v>9</v>
      </c>
      <c r="X118">
        <f t="shared" si="27"/>
        <v>6</v>
      </c>
      <c r="Y118">
        <f t="shared" si="28"/>
        <v>4</v>
      </c>
    </row>
    <row r="119" spans="1:25" x14ac:dyDescent="0.35">
      <c r="A119" t="s">
        <v>448</v>
      </c>
      <c r="B119" t="s">
        <v>292</v>
      </c>
      <c r="C119" t="s">
        <v>178</v>
      </c>
      <c r="D119" t="s">
        <v>25</v>
      </c>
      <c r="E119" t="s">
        <v>79</v>
      </c>
      <c r="F119">
        <v>2004</v>
      </c>
      <c r="K119" s="14" t="s">
        <v>814</v>
      </c>
      <c r="L119" t="s">
        <v>426</v>
      </c>
      <c r="M119" t="s">
        <v>213</v>
      </c>
      <c r="N119" t="s">
        <v>214</v>
      </c>
      <c r="O119" t="s">
        <v>35</v>
      </c>
      <c r="P119" t="s">
        <v>17</v>
      </c>
      <c r="Q119">
        <v>1998</v>
      </c>
      <c r="S119" s="37" t="str">
        <f t="shared" si="29"/>
        <v>INSERT INTO Tab1_Joueurs VALUES ('2003ItaAnt', 'Antonio', 'Antonio', 'Défenseur', 'Italie', '2003');</v>
      </c>
      <c r="T119">
        <f t="shared" si="23"/>
        <v>10</v>
      </c>
      <c r="U119">
        <f t="shared" si="24"/>
        <v>7</v>
      </c>
      <c r="V119">
        <f t="shared" si="25"/>
        <v>5</v>
      </c>
      <c r="W119">
        <f t="shared" si="26"/>
        <v>6</v>
      </c>
      <c r="X119">
        <f t="shared" si="27"/>
        <v>6</v>
      </c>
      <c r="Y119">
        <f t="shared" si="28"/>
        <v>4</v>
      </c>
    </row>
    <row r="120" spans="1:25" x14ac:dyDescent="0.35">
      <c r="A120" t="s">
        <v>449</v>
      </c>
      <c r="B120" t="s">
        <v>260</v>
      </c>
      <c r="C120" t="s">
        <v>78</v>
      </c>
      <c r="D120" t="s">
        <v>35</v>
      </c>
      <c r="E120" t="s">
        <v>79</v>
      </c>
      <c r="F120">
        <v>2004</v>
      </c>
      <c r="K120" s="14" t="s">
        <v>815</v>
      </c>
      <c r="L120" t="s">
        <v>427</v>
      </c>
      <c r="M120" t="s">
        <v>15</v>
      </c>
      <c r="N120" t="s">
        <v>16</v>
      </c>
      <c r="O120" t="s">
        <v>7</v>
      </c>
      <c r="P120" t="s">
        <v>17</v>
      </c>
      <c r="Q120">
        <v>1999</v>
      </c>
      <c r="S120" s="37" t="str">
        <f t="shared" si="29"/>
        <v>INSERT INTO Tab1_Joueurs VALUES ('2004ItaMir', 'Miretti', 'Fabio', 'Milieu', 'Italie', '2004');</v>
      </c>
      <c r="T120">
        <f t="shared" si="23"/>
        <v>10</v>
      </c>
      <c r="U120">
        <f t="shared" si="24"/>
        <v>8</v>
      </c>
      <c r="V120">
        <f t="shared" si="25"/>
        <v>7</v>
      </c>
      <c r="W120">
        <f t="shared" si="26"/>
        <v>9</v>
      </c>
      <c r="X120">
        <f t="shared" si="27"/>
        <v>6</v>
      </c>
      <c r="Y120">
        <f t="shared" si="28"/>
        <v>4</v>
      </c>
    </row>
    <row r="121" spans="1:25" x14ac:dyDescent="0.35">
      <c r="A121" t="s">
        <v>450</v>
      </c>
      <c r="B121" t="s">
        <v>196</v>
      </c>
      <c r="C121" t="s">
        <v>197</v>
      </c>
      <c r="D121" t="s">
        <v>25</v>
      </c>
      <c r="E121" t="s">
        <v>86</v>
      </c>
      <c r="F121">
        <v>1994</v>
      </c>
      <c r="K121" s="14" t="s">
        <v>816</v>
      </c>
      <c r="L121" t="s">
        <v>428</v>
      </c>
      <c r="M121" t="s">
        <v>203</v>
      </c>
      <c r="N121" t="s">
        <v>204</v>
      </c>
      <c r="O121" t="s">
        <v>25</v>
      </c>
      <c r="P121" t="s">
        <v>17</v>
      </c>
      <c r="Q121">
        <v>2000</v>
      </c>
      <c r="S121" s="37" t="str">
        <f t="shared" si="29"/>
        <v>INSERT INTO Tab1_Joueurs VALUES ('2004ItaSca', 'Scalvini', 'Giorgio', 'Défenseur', 'Italie', '2004');</v>
      </c>
      <c r="T121">
        <f t="shared" si="23"/>
        <v>10</v>
      </c>
      <c r="U121">
        <f t="shared" si="24"/>
        <v>6</v>
      </c>
      <c r="V121">
        <f t="shared" si="25"/>
        <v>5</v>
      </c>
      <c r="W121">
        <f t="shared" si="26"/>
        <v>6</v>
      </c>
      <c r="X121">
        <f t="shared" si="27"/>
        <v>5</v>
      </c>
      <c r="Y121">
        <f t="shared" si="28"/>
        <v>4</v>
      </c>
    </row>
    <row r="122" spans="1:25" x14ac:dyDescent="0.35">
      <c r="A122" t="s">
        <v>451</v>
      </c>
      <c r="B122" t="s">
        <v>84</v>
      </c>
      <c r="C122" t="s">
        <v>85</v>
      </c>
      <c r="D122" t="s">
        <v>35</v>
      </c>
      <c r="E122" t="s">
        <v>86</v>
      </c>
      <c r="F122">
        <v>1999</v>
      </c>
      <c r="K122" s="14" t="s">
        <v>817</v>
      </c>
      <c r="L122" t="s">
        <v>429</v>
      </c>
      <c r="M122" t="s">
        <v>215</v>
      </c>
      <c r="N122" t="s">
        <v>216</v>
      </c>
      <c r="O122" t="s">
        <v>35</v>
      </c>
      <c r="P122" t="s">
        <v>17</v>
      </c>
      <c r="Q122">
        <v>2000</v>
      </c>
      <c r="S122" s="37" t="str">
        <f t="shared" si="29"/>
        <v>INSERT INTO Tab1_Joueurs VALUES ('1994MarZiy', 'Ziyech', 'Hakim', 'Milieu', 'Maroc', '1994');</v>
      </c>
      <c r="T122">
        <f t="shared" si="23"/>
        <v>10</v>
      </c>
      <c r="U122">
        <f t="shared" si="24"/>
        <v>6</v>
      </c>
      <c r="V122">
        <f t="shared" si="25"/>
        <v>6</v>
      </c>
      <c r="W122">
        <f t="shared" si="26"/>
        <v>9</v>
      </c>
      <c r="X122">
        <f t="shared" si="27"/>
        <v>5</v>
      </c>
      <c r="Y122">
        <f t="shared" si="28"/>
        <v>4</v>
      </c>
    </row>
    <row r="123" spans="1:25" x14ac:dyDescent="0.35">
      <c r="A123" t="s">
        <v>452</v>
      </c>
      <c r="B123" t="s">
        <v>325</v>
      </c>
      <c r="C123" t="s">
        <v>326</v>
      </c>
      <c r="D123" t="s">
        <v>42</v>
      </c>
      <c r="E123" t="s">
        <v>327</v>
      </c>
      <c r="F123">
        <v>1986</v>
      </c>
      <c r="K123" s="14" t="s">
        <v>818</v>
      </c>
      <c r="L123" t="s">
        <v>430</v>
      </c>
      <c r="M123" t="s">
        <v>207</v>
      </c>
      <c r="N123" t="s">
        <v>208</v>
      </c>
      <c r="O123" t="s">
        <v>25</v>
      </c>
      <c r="P123" t="s">
        <v>17</v>
      </c>
      <c r="Q123">
        <v>2001</v>
      </c>
      <c r="S123" s="37" t="str">
        <f t="shared" si="29"/>
        <v>INSERT INTO Tab1_Joueurs VALUES ('1999MarHak', 'Hakimi', 'Achraf', 'Défenseur', 'Maroc', '1999');</v>
      </c>
      <c r="T123">
        <f t="shared" si="23"/>
        <v>10</v>
      </c>
      <c r="U123">
        <f t="shared" si="24"/>
        <v>5</v>
      </c>
      <c r="V123">
        <f t="shared" si="25"/>
        <v>9</v>
      </c>
      <c r="W123">
        <f t="shared" si="26"/>
        <v>7</v>
      </c>
      <c r="X123">
        <f t="shared" si="27"/>
        <v>7</v>
      </c>
      <c r="Y123">
        <f t="shared" si="28"/>
        <v>4</v>
      </c>
    </row>
    <row r="124" spans="1:25" x14ac:dyDescent="0.35">
      <c r="A124" t="s">
        <v>453</v>
      </c>
      <c r="B124" t="s">
        <v>122</v>
      </c>
      <c r="C124" t="s">
        <v>123</v>
      </c>
      <c r="D124" t="s">
        <v>7</v>
      </c>
      <c r="E124" t="s">
        <v>124</v>
      </c>
      <c r="F124">
        <v>1999</v>
      </c>
      <c r="K124" s="14" t="s">
        <v>819</v>
      </c>
      <c r="L124" t="s">
        <v>431</v>
      </c>
      <c r="M124" t="s">
        <v>207</v>
      </c>
      <c r="N124" t="s">
        <v>208</v>
      </c>
      <c r="O124" t="s">
        <v>25</v>
      </c>
      <c r="P124" t="s">
        <v>17</v>
      </c>
      <c r="Q124">
        <v>2002</v>
      </c>
      <c r="S124" s="37" t="str">
        <f t="shared" si="29"/>
        <v>INSERT INTO Tab1_Joueurs VALUES ('1986MexOch', 'Ochoa', 'Guillermo', 'Gardien', 'Mexique', '1986');</v>
      </c>
      <c r="T124">
        <f t="shared" si="23"/>
        <v>10</v>
      </c>
      <c r="U124">
        <f t="shared" si="24"/>
        <v>7</v>
      </c>
      <c r="V124">
        <f t="shared" si="25"/>
        <v>6</v>
      </c>
      <c r="W124">
        <f t="shared" si="26"/>
        <v>9</v>
      </c>
      <c r="X124">
        <f t="shared" si="27"/>
        <v>7</v>
      </c>
      <c r="Y124">
        <f t="shared" si="28"/>
        <v>4</v>
      </c>
    </row>
    <row r="125" spans="1:25" x14ac:dyDescent="0.35">
      <c r="A125" t="s">
        <v>454</v>
      </c>
      <c r="B125" t="s">
        <v>37</v>
      </c>
      <c r="C125" t="s">
        <v>38</v>
      </c>
      <c r="D125" t="s">
        <v>7</v>
      </c>
      <c r="E125" t="s">
        <v>39</v>
      </c>
      <c r="F125">
        <v>2000</v>
      </c>
      <c r="K125" s="14" t="s">
        <v>820</v>
      </c>
      <c r="L125" t="s">
        <v>432</v>
      </c>
      <c r="M125" t="s">
        <v>209</v>
      </c>
      <c r="N125" t="s">
        <v>210</v>
      </c>
      <c r="O125" t="s">
        <v>25</v>
      </c>
      <c r="P125" t="s">
        <v>17</v>
      </c>
      <c r="Q125">
        <v>2003</v>
      </c>
      <c r="S125" s="37" t="str">
        <f t="shared" si="29"/>
        <v>INSERT INTO Tab1_Joueurs VALUES ('1999NigOsi', 'Osimhen', 'Victor', 'Attaquant', 'Nigeria', '1999');</v>
      </c>
      <c r="T125">
        <f t="shared" si="23"/>
        <v>10</v>
      </c>
      <c r="U125">
        <f t="shared" si="24"/>
        <v>7</v>
      </c>
      <c r="V125">
        <f t="shared" si="25"/>
        <v>6</v>
      </c>
      <c r="W125">
        <f t="shared" si="26"/>
        <v>9</v>
      </c>
      <c r="X125">
        <f t="shared" si="27"/>
        <v>7</v>
      </c>
      <c r="Y125">
        <f t="shared" si="28"/>
        <v>4</v>
      </c>
    </row>
    <row r="126" spans="1:25" x14ac:dyDescent="0.35">
      <c r="A126" t="s">
        <v>455</v>
      </c>
      <c r="B126" t="s">
        <v>164</v>
      </c>
      <c r="C126" t="s">
        <v>165</v>
      </c>
      <c r="D126" t="s">
        <v>7</v>
      </c>
      <c r="E126" t="s">
        <v>166</v>
      </c>
      <c r="F126">
        <v>1990</v>
      </c>
      <c r="K126" s="14" t="s">
        <v>821</v>
      </c>
      <c r="L126" t="s">
        <v>433</v>
      </c>
      <c r="M126" t="s">
        <v>269</v>
      </c>
      <c r="N126" t="s">
        <v>270</v>
      </c>
      <c r="O126" t="s">
        <v>7</v>
      </c>
      <c r="P126" t="s">
        <v>17</v>
      </c>
      <c r="Q126">
        <v>2004</v>
      </c>
      <c r="S126" s="37" t="str">
        <f t="shared" si="29"/>
        <v>INSERT INTO Tab1_Joueurs VALUES ('2000NorHaa', 'Haaland', 'Erling', 'Attaquant', 'Norvège', '2000');</v>
      </c>
      <c r="T126">
        <f t="shared" si="23"/>
        <v>10</v>
      </c>
      <c r="U126">
        <f t="shared" si="24"/>
        <v>4</v>
      </c>
      <c r="V126">
        <f t="shared" si="25"/>
        <v>6</v>
      </c>
      <c r="W126">
        <f t="shared" si="26"/>
        <v>9</v>
      </c>
      <c r="X126">
        <f t="shared" si="27"/>
        <v>14</v>
      </c>
      <c r="Y126">
        <f t="shared" si="28"/>
        <v>4</v>
      </c>
    </row>
    <row r="127" spans="1:25" x14ac:dyDescent="0.35">
      <c r="A127" t="s">
        <v>456</v>
      </c>
      <c r="B127" t="s">
        <v>162</v>
      </c>
      <c r="C127" t="s">
        <v>163</v>
      </c>
      <c r="D127" t="s">
        <v>7</v>
      </c>
      <c r="E127" t="s">
        <v>36</v>
      </c>
      <c r="F127">
        <v>1985</v>
      </c>
      <c r="K127" s="14" t="s">
        <v>822</v>
      </c>
      <c r="L127" t="s">
        <v>434</v>
      </c>
      <c r="M127" t="s">
        <v>279</v>
      </c>
      <c r="N127" t="s">
        <v>280</v>
      </c>
      <c r="O127" t="s">
        <v>7</v>
      </c>
      <c r="P127" t="s">
        <v>281</v>
      </c>
      <c r="Q127">
        <v>2001</v>
      </c>
      <c r="S127" s="37" t="str">
        <f t="shared" si="29"/>
        <v>INSERT INTO Tab1_Joueurs VALUES ('1990PayBal', 'Bale', 'Gareth', 'Attaquant', 'Pays de Galles', '1990');</v>
      </c>
      <c r="T127">
        <f t="shared" si="23"/>
        <v>10</v>
      </c>
      <c r="U127">
        <f t="shared" si="24"/>
        <v>6</v>
      </c>
      <c r="V127">
        <f t="shared" si="25"/>
        <v>5</v>
      </c>
      <c r="W127">
        <f t="shared" si="26"/>
        <v>9</v>
      </c>
      <c r="X127">
        <f t="shared" si="27"/>
        <v>8</v>
      </c>
      <c r="Y127">
        <f t="shared" si="28"/>
        <v>4</v>
      </c>
    </row>
    <row r="128" spans="1:25" x14ac:dyDescent="0.35">
      <c r="A128" t="s">
        <v>457</v>
      </c>
      <c r="B128" t="s">
        <v>33</v>
      </c>
      <c r="C128" t="s">
        <v>34</v>
      </c>
      <c r="D128" t="s">
        <v>35</v>
      </c>
      <c r="E128" t="s">
        <v>36</v>
      </c>
      <c r="F128">
        <v>1991</v>
      </c>
      <c r="K128" s="14" t="s">
        <v>823</v>
      </c>
      <c r="L128" t="s">
        <v>435</v>
      </c>
      <c r="M128" t="s">
        <v>247</v>
      </c>
      <c r="N128" t="s">
        <v>248</v>
      </c>
      <c r="O128" t="s">
        <v>25</v>
      </c>
      <c r="P128" t="s">
        <v>249</v>
      </c>
      <c r="Q128">
        <v>2001</v>
      </c>
      <c r="S128" s="37" t="str">
        <f t="shared" si="29"/>
        <v>INSERT INTO Tab1_Joueurs VALUES ('1985PayRob', 'Robben', 'Arjen', 'Attaquant', 'Pays-Bas', '1985');</v>
      </c>
      <c r="T128">
        <f t="shared" si="23"/>
        <v>10</v>
      </c>
      <c r="U128">
        <f t="shared" si="24"/>
        <v>8</v>
      </c>
      <c r="V128">
        <f t="shared" si="25"/>
        <v>6</v>
      </c>
      <c r="W128">
        <f t="shared" si="26"/>
        <v>9</v>
      </c>
      <c r="X128">
        <f t="shared" si="27"/>
        <v>8</v>
      </c>
      <c r="Y128">
        <f t="shared" si="28"/>
        <v>4</v>
      </c>
    </row>
    <row r="129" spans="1:25" x14ac:dyDescent="0.35">
      <c r="A129" t="s">
        <v>458</v>
      </c>
      <c r="B129" t="s">
        <v>101</v>
      </c>
      <c r="C129" t="s">
        <v>102</v>
      </c>
      <c r="D129" t="s">
        <v>7</v>
      </c>
      <c r="E129" t="s">
        <v>36</v>
      </c>
      <c r="F129">
        <v>1994</v>
      </c>
      <c r="K129" s="14" t="s">
        <v>824</v>
      </c>
      <c r="L129" t="s">
        <v>436</v>
      </c>
      <c r="M129" t="s">
        <v>253</v>
      </c>
      <c r="N129" t="s">
        <v>254</v>
      </c>
      <c r="O129" t="s">
        <v>7</v>
      </c>
      <c r="P129" t="s">
        <v>255</v>
      </c>
      <c r="Q129">
        <v>2005</v>
      </c>
      <c r="S129" s="37" t="str">
        <f t="shared" si="29"/>
        <v>INSERT INTO Tab1_Joueurs VALUES ('1991PayVan', 'Van Dijk', 'Virgil', 'Défenseur', 'Pays-Bas', '1991');</v>
      </c>
      <c r="T129">
        <f t="shared" si="23"/>
        <v>10</v>
      </c>
      <c r="U129">
        <f t="shared" si="24"/>
        <v>5</v>
      </c>
      <c r="V129">
        <f t="shared" si="25"/>
        <v>7</v>
      </c>
      <c r="W129">
        <f t="shared" si="26"/>
        <v>9</v>
      </c>
      <c r="X129">
        <f t="shared" si="27"/>
        <v>8</v>
      </c>
      <c r="Y129">
        <f t="shared" si="28"/>
        <v>4</v>
      </c>
    </row>
    <row r="130" spans="1:25" x14ac:dyDescent="0.35">
      <c r="A130" t="s">
        <v>459</v>
      </c>
      <c r="B130" t="s">
        <v>261</v>
      </c>
      <c r="C130" t="s">
        <v>262</v>
      </c>
      <c r="D130" t="s">
        <v>35</v>
      </c>
      <c r="E130" t="s">
        <v>36</v>
      </c>
      <c r="F130">
        <v>2002</v>
      </c>
      <c r="K130" s="14" t="s">
        <v>825</v>
      </c>
      <c r="L130" t="s">
        <v>437</v>
      </c>
      <c r="M130" t="s">
        <v>157</v>
      </c>
      <c r="N130" t="s">
        <v>158</v>
      </c>
      <c r="O130" t="s">
        <v>25</v>
      </c>
      <c r="P130" t="s">
        <v>79</v>
      </c>
      <c r="Q130">
        <v>1980</v>
      </c>
      <c r="S130" s="37" t="str">
        <f t="shared" si="29"/>
        <v>INSERT INTO Tab1_Joueurs VALUES ('1994PayDep', 'Depay', 'Memphis', 'Attaquant', 'Pays-Bas', '1994');</v>
      </c>
      <c r="T130">
        <f t="shared" ref="T130:T157" si="30">LEN(A130)</f>
        <v>10</v>
      </c>
      <c r="U130">
        <f t="shared" ref="U130:U157" si="31">LEN(B130)</f>
        <v>6</v>
      </c>
      <c r="V130">
        <f t="shared" ref="V130:V157" si="32">LEN(C130)</f>
        <v>7</v>
      </c>
      <c r="W130">
        <f t="shared" ref="W130:W157" si="33">LEN(D130)</f>
        <v>9</v>
      </c>
      <c r="X130">
        <f t="shared" ref="X130:X157" si="34">LEN(E130)</f>
        <v>8</v>
      </c>
      <c r="Y130">
        <f t="shared" ref="Y130:Y157" si="35">LEN(F130)</f>
        <v>4</v>
      </c>
    </row>
    <row r="131" spans="1:25" x14ac:dyDescent="0.35">
      <c r="A131" t="s">
        <v>460</v>
      </c>
      <c r="B131" t="s">
        <v>284</v>
      </c>
      <c r="C131" t="s">
        <v>49</v>
      </c>
      <c r="D131" t="s">
        <v>7</v>
      </c>
      <c r="E131" t="s">
        <v>36</v>
      </c>
      <c r="F131">
        <v>2002</v>
      </c>
      <c r="K131" s="14" t="s">
        <v>826</v>
      </c>
      <c r="L131" t="s">
        <v>438</v>
      </c>
      <c r="M131" t="s">
        <v>77</v>
      </c>
      <c r="N131" t="s">
        <v>78</v>
      </c>
      <c r="O131" t="s">
        <v>35</v>
      </c>
      <c r="P131" t="s">
        <v>79</v>
      </c>
      <c r="Q131">
        <v>1985</v>
      </c>
      <c r="S131" s="37" t="str">
        <f t="shared" ref="S131:S158" si="36">CONCATENATE("INSERT INTO Tab1_Joueurs VALUES ('",A130,$S$1,B130,$S$1,C130,$S$1,D130,$S$1,E130,$S$1,F130,"');")</f>
        <v>INSERT INTO Tab1_Joueurs VALUES ('2002PayTim', 'Timber', 'Jurrien', 'Défenseur', 'Pays-Bas', '2002');</v>
      </c>
      <c r="T131">
        <f t="shared" si="30"/>
        <v>10</v>
      </c>
      <c r="U131">
        <f t="shared" si="31"/>
        <v>7</v>
      </c>
      <c r="V131">
        <f t="shared" si="32"/>
        <v>6</v>
      </c>
      <c r="W131">
        <f t="shared" si="33"/>
        <v>9</v>
      </c>
      <c r="X131">
        <f t="shared" si="34"/>
        <v>8</v>
      </c>
      <c r="Y131">
        <f t="shared" si="35"/>
        <v>4</v>
      </c>
    </row>
    <row r="132" spans="1:25" x14ac:dyDescent="0.35">
      <c r="A132" t="s">
        <v>461</v>
      </c>
      <c r="B132" t="s">
        <v>211</v>
      </c>
      <c r="C132" t="s">
        <v>212</v>
      </c>
      <c r="D132" t="s">
        <v>25</v>
      </c>
      <c r="E132" t="s">
        <v>36</v>
      </c>
      <c r="F132">
        <v>2003</v>
      </c>
      <c r="K132" s="14" t="s">
        <v>827</v>
      </c>
      <c r="L132" t="s">
        <v>439</v>
      </c>
      <c r="M132" t="s">
        <v>188</v>
      </c>
      <c r="N132" t="s">
        <v>189</v>
      </c>
      <c r="O132" t="s">
        <v>35</v>
      </c>
      <c r="P132" t="s">
        <v>79</v>
      </c>
      <c r="Q132">
        <v>1987</v>
      </c>
      <c r="S132" s="37" t="str">
        <f t="shared" si="36"/>
        <v>INSERT INTO Tab1_Joueurs VALUES ('2002PayZir', 'Zirkzee', 'Joshua', 'Attaquant', 'Pays-Bas', '2002');</v>
      </c>
      <c r="T132">
        <f t="shared" si="30"/>
        <v>10</v>
      </c>
      <c r="U132">
        <f t="shared" si="31"/>
        <v>11</v>
      </c>
      <c r="V132">
        <f t="shared" si="32"/>
        <v>4</v>
      </c>
      <c r="W132">
        <f t="shared" si="33"/>
        <v>6</v>
      </c>
      <c r="X132">
        <f t="shared" si="34"/>
        <v>8</v>
      </c>
      <c r="Y132">
        <f t="shared" si="35"/>
        <v>4</v>
      </c>
    </row>
    <row r="133" spans="1:25" x14ac:dyDescent="0.35">
      <c r="A133" t="s">
        <v>462</v>
      </c>
      <c r="B133" t="s">
        <v>278</v>
      </c>
      <c r="C133" t="s">
        <v>153</v>
      </c>
      <c r="D133" t="s">
        <v>25</v>
      </c>
      <c r="E133" t="s">
        <v>36</v>
      </c>
      <c r="F133">
        <v>2004</v>
      </c>
      <c r="K133" s="14" t="s">
        <v>828</v>
      </c>
      <c r="L133" t="s">
        <v>440</v>
      </c>
      <c r="M133" t="s">
        <v>193</v>
      </c>
      <c r="N133" t="s">
        <v>194</v>
      </c>
      <c r="O133" t="s">
        <v>7</v>
      </c>
      <c r="P133" t="s">
        <v>79</v>
      </c>
      <c r="Q133">
        <v>1990</v>
      </c>
      <c r="S133" s="37" t="str">
        <f t="shared" si="36"/>
        <v>INSERT INTO Tab1_Joueurs VALUES ('2003PayGra', 'Gravenberch', 'Ryan', 'Milieu', 'Pays-Bas', '2003');</v>
      </c>
      <c r="T133">
        <f t="shared" si="30"/>
        <v>10</v>
      </c>
      <c r="U133">
        <f t="shared" si="31"/>
        <v>6</v>
      </c>
      <c r="V133">
        <f t="shared" si="32"/>
        <v>4</v>
      </c>
      <c r="W133">
        <f t="shared" si="33"/>
        <v>6</v>
      </c>
      <c r="X133">
        <f t="shared" si="34"/>
        <v>8</v>
      </c>
      <c r="Y133">
        <f t="shared" si="35"/>
        <v>4</v>
      </c>
    </row>
    <row r="134" spans="1:25" x14ac:dyDescent="0.35">
      <c r="A134" t="s">
        <v>463</v>
      </c>
      <c r="B134" t="s">
        <v>18</v>
      </c>
      <c r="C134" t="s">
        <v>19</v>
      </c>
      <c r="D134" t="s">
        <v>7</v>
      </c>
      <c r="E134" t="s">
        <v>20</v>
      </c>
      <c r="F134">
        <v>1988</v>
      </c>
      <c r="K134" s="14" t="s">
        <v>829</v>
      </c>
      <c r="L134" t="s">
        <v>441</v>
      </c>
      <c r="M134" t="s">
        <v>182</v>
      </c>
      <c r="N134" t="s">
        <v>183</v>
      </c>
      <c r="O134" t="s">
        <v>25</v>
      </c>
      <c r="P134" t="s">
        <v>79</v>
      </c>
      <c r="Q134">
        <v>1992</v>
      </c>
      <c r="S134" s="37" t="str">
        <f t="shared" si="36"/>
        <v>INSERT INTO Tab1_Joueurs VALUES ('2004PaySim', 'Simons', 'Xavi', 'Milieu', 'Pays-Bas', '2004');</v>
      </c>
      <c r="T134">
        <f t="shared" si="30"/>
        <v>10</v>
      </c>
      <c r="U134">
        <f t="shared" si="31"/>
        <v>11</v>
      </c>
      <c r="V134">
        <f t="shared" si="32"/>
        <v>6</v>
      </c>
      <c r="W134">
        <f t="shared" si="33"/>
        <v>9</v>
      </c>
      <c r="X134">
        <f t="shared" si="34"/>
        <v>7</v>
      </c>
      <c r="Y134">
        <f t="shared" si="35"/>
        <v>4</v>
      </c>
    </row>
    <row r="135" spans="1:25" x14ac:dyDescent="0.35">
      <c r="A135" t="s">
        <v>464</v>
      </c>
      <c r="B135" t="s">
        <v>314</v>
      </c>
      <c r="C135" t="s">
        <v>315</v>
      </c>
      <c r="D135" t="s">
        <v>42</v>
      </c>
      <c r="E135" t="s">
        <v>20</v>
      </c>
      <c r="F135">
        <v>1991</v>
      </c>
      <c r="K135" s="14" t="s">
        <v>830</v>
      </c>
      <c r="L135" t="s">
        <v>442</v>
      </c>
      <c r="M135" t="s">
        <v>184</v>
      </c>
      <c r="N135" t="s">
        <v>176</v>
      </c>
      <c r="O135" t="s">
        <v>25</v>
      </c>
      <c r="P135" t="s">
        <v>79</v>
      </c>
      <c r="Q135">
        <v>1993</v>
      </c>
      <c r="S135" s="37" t="str">
        <f t="shared" si="36"/>
        <v>INSERT INTO Tab1_Joueurs VALUES ('1988PolLew', 'Lewandowski', 'Robert', 'Attaquant', 'Pologne', '1988');</v>
      </c>
      <c r="T135">
        <f t="shared" si="30"/>
        <v>10</v>
      </c>
      <c r="U135">
        <f t="shared" si="31"/>
        <v>8</v>
      </c>
      <c r="V135">
        <f t="shared" si="32"/>
        <v>8</v>
      </c>
      <c r="W135">
        <f t="shared" si="33"/>
        <v>7</v>
      </c>
      <c r="X135">
        <f t="shared" si="34"/>
        <v>7</v>
      </c>
      <c r="Y135">
        <f t="shared" si="35"/>
        <v>4</v>
      </c>
    </row>
    <row r="136" spans="1:25" x14ac:dyDescent="0.35">
      <c r="A136" t="s">
        <v>465</v>
      </c>
      <c r="B136" t="s">
        <v>9</v>
      </c>
      <c r="C136" t="s">
        <v>10</v>
      </c>
      <c r="D136" t="s">
        <v>7</v>
      </c>
      <c r="E136" t="s">
        <v>11</v>
      </c>
      <c r="F136">
        <v>1985</v>
      </c>
      <c r="K136" s="14" t="s">
        <v>831</v>
      </c>
      <c r="L136" t="s">
        <v>443</v>
      </c>
      <c r="M136" t="s">
        <v>192</v>
      </c>
      <c r="N136" t="s">
        <v>189</v>
      </c>
      <c r="O136" t="s">
        <v>35</v>
      </c>
      <c r="P136" t="s">
        <v>79</v>
      </c>
      <c r="Q136">
        <v>1994</v>
      </c>
      <c r="S136" s="37" t="str">
        <f t="shared" si="36"/>
        <v>INSERT INTO Tab1_Joueurs VALUES ('1991PolSzc', 'Szczęsny', 'Wojciech', 'Gardien', 'Pologne', '1991');</v>
      </c>
      <c r="T136">
        <f t="shared" si="30"/>
        <v>10</v>
      </c>
      <c r="U136">
        <f t="shared" si="31"/>
        <v>7</v>
      </c>
      <c r="V136">
        <f t="shared" si="32"/>
        <v>9</v>
      </c>
      <c r="W136">
        <f t="shared" si="33"/>
        <v>9</v>
      </c>
      <c r="X136">
        <f t="shared" si="34"/>
        <v>8</v>
      </c>
      <c r="Y136">
        <f t="shared" si="35"/>
        <v>4</v>
      </c>
    </row>
    <row r="137" spans="1:25" x14ac:dyDescent="0.35">
      <c r="A137" t="s">
        <v>466</v>
      </c>
      <c r="B137" t="s">
        <v>179</v>
      </c>
      <c r="C137" t="s">
        <v>65</v>
      </c>
      <c r="D137" t="s">
        <v>25</v>
      </c>
      <c r="E137" t="s">
        <v>11</v>
      </c>
      <c r="F137">
        <v>1994</v>
      </c>
      <c r="K137" s="14" t="s">
        <v>832</v>
      </c>
      <c r="L137" t="s">
        <v>444</v>
      </c>
      <c r="M137" t="s">
        <v>220</v>
      </c>
      <c r="N137" t="s">
        <v>221</v>
      </c>
      <c r="O137" t="s">
        <v>25</v>
      </c>
      <c r="P137" t="s">
        <v>79</v>
      </c>
      <c r="Q137">
        <v>1997</v>
      </c>
      <c r="S137" s="37" t="str">
        <f t="shared" si="36"/>
        <v>INSERT INTO Tab1_Joueurs VALUES ('1985PorRon', 'Ronaldo', 'Cristiano', 'Attaquant', 'Portugal', '1985');</v>
      </c>
      <c r="T137">
        <f t="shared" si="30"/>
        <v>10</v>
      </c>
      <c r="U137">
        <f t="shared" si="31"/>
        <v>8</v>
      </c>
      <c r="V137">
        <f t="shared" si="32"/>
        <v>5</v>
      </c>
      <c r="W137">
        <f t="shared" si="33"/>
        <v>6</v>
      </c>
      <c r="X137">
        <f t="shared" si="34"/>
        <v>8</v>
      </c>
      <c r="Y137">
        <f t="shared" si="35"/>
        <v>4</v>
      </c>
    </row>
    <row r="138" spans="1:25" x14ac:dyDescent="0.35">
      <c r="A138" t="s">
        <v>467</v>
      </c>
      <c r="B138" t="s">
        <v>93</v>
      </c>
      <c r="C138" t="s">
        <v>94</v>
      </c>
      <c r="D138" t="s">
        <v>25</v>
      </c>
      <c r="E138" t="s">
        <v>11</v>
      </c>
      <c r="F138">
        <v>1995</v>
      </c>
      <c r="K138" s="14" t="s">
        <v>833</v>
      </c>
      <c r="L138" t="s">
        <v>445</v>
      </c>
      <c r="M138" t="s">
        <v>121</v>
      </c>
      <c r="N138" t="s">
        <v>114</v>
      </c>
      <c r="O138" t="s">
        <v>7</v>
      </c>
      <c r="P138" t="s">
        <v>79</v>
      </c>
      <c r="Q138">
        <v>1998</v>
      </c>
      <c r="S138" s="37" t="str">
        <f t="shared" si="36"/>
        <v>INSERT INTO Tab1_Joueurs VALUES ('1994PorBer', 'Bernardo', 'Silva', 'Milieu', 'Portugal', '1994');</v>
      </c>
      <c r="T138">
        <f t="shared" si="30"/>
        <v>10</v>
      </c>
      <c r="U138">
        <f t="shared" si="31"/>
        <v>9</v>
      </c>
      <c r="V138">
        <f t="shared" si="32"/>
        <v>5</v>
      </c>
      <c r="W138">
        <f t="shared" si="33"/>
        <v>6</v>
      </c>
      <c r="X138">
        <f t="shared" si="34"/>
        <v>8</v>
      </c>
      <c r="Y138">
        <f t="shared" si="35"/>
        <v>4</v>
      </c>
    </row>
    <row r="139" spans="1:25" x14ac:dyDescent="0.35">
      <c r="A139" t="s">
        <v>468</v>
      </c>
      <c r="B139" t="s">
        <v>95</v>
      </c>
      <c r="C139" t="s">
        <v>96</v>
      </c>
      <c r="D139" t="s">
        <v>35</v>
      </c>
      <c r="E139" t="s">
        <v>11</v>
      </c>
      <c r="F139">
        <v>1997</v>
      </c>
      <c r="K139" s="14" t="s">
        <v>834</v>
      </c>
      <c r="L139" t="s">
        <v>446</v>
      </c>
      <c r="M139" t="s">
        <v>305</v>
      </c>
      <c r="N139" t="s">
        <v>306</v>
      </c>
      <c r="O139" t="s">
        <v>42</v>
      </c>
      <c r="P139" t="s">
        <v>79</v>
      </c>
      <c r="Q139">
        <v>1999</v>
      </c>
      <c r="S139" s="37" t="str">
        <f t="shared" si="36"/>
        <v>INSERT INTO Tab1_Joueurs VALUES ('1995PorFer', 'Fernandes', 'Bruno', 'Milieu', 'Portugal', '1995');</v>
      </c>
      <c r="T139">
        <f t="shared" si="30"/>
        <v>10</v>
      </c>
      <c r="U139">
        <f t="shared" si="31"/>
        <v>4</v>
      </c>
      <c r="V139">
        <f t="shared" si="32"/>
        <v>5</v>
      </c>
      <c r="W139">
        <f t="shared" si="33"/>
        <v>9</v>
      </c>
      <c r="X139">
        <f t="shared" si="34"/>
        <v>8</v>
      </c>
      <c r="Y139">
        <f t="shared" si="35"/>
        <v>4</v>
      </c>
    </row>
    <row r="140" spans="1:25" x14ac:dyDescent="0.35">
      <c r="A140" t="s">
        <v>469</v>
      </c>
      <c r="B140" t="s">
        <v>201</v>
      </c>
      <c r="C140" t="s">
        <v>202</v>
      </c>
      <c r="D140" t="s">
        <v>7</v>
      </c>
      <c r="E140" t="s">
        <v>11</v>
      </c>
      <c r="F140">
        <v>1997</v>
      </c>
      <c r="K140" s="14" t="s">
        <v>835</v>
      </c>
      <c r="L140" t="s">
        <v>447</v>
      </c>
      <c r="M140" t="s">
        <v>263</v>
      </c>
      <c r="N140" t="s">
        <v>263</v>
      </c>
      <c r="O140" t="s">
        <v>35</v>
      </c>
      <c r="P140" t="s">
        <v>79</v>
      </c>
      <c r="Q140">
        <v>2003</v>
      </c>
      <c r="S140" s="37" t="str">
        <f t="shared" si="36"/>
        <v>INSERT INTO Tab1_Joueurs VALUES ('1997PorDia', 'Dias', 'Rúben', 'Défenseur', 'Portugal', '1997');</v>
      </c>
      <c r="T140">
        <f t="shared" si="30"/>
        <v>10</v>
      </c>
      <c r="U140">
        <f t="shared" si="31"/>
        <v>12</v>
      </c>
      <c r="V140">
        <f t="shared" si="32"/>
        <v>5</v>
      </c>
      <c r="W140">
        <f t="shared" si="33"/>
        <v>9</v>
      </c>
      <c r="X140">
        <f t="shared" si="34"/>
        <v>8</v>
      </c>
      <c r="Y140">
        <f t="shared" si="35"/>
        <v>4</v>
      </c>
    </row>
    <row r="141" spans="1:25" x14ac:dyDescent="0.35">
      <c r="A141" t="s">
        <v>470</v>
      </c>
      <c r="B141" t="s">
        <v>282</v>
      </c>
      <c r="C141" t="s">
        <v>283</v>
      </c>
      <c r="D141" t="s">
        <v>7</v>
      </c>
      <c r="E141" t="s">
        <v>11</v>
      </c>
      <c r="F141">
        <v>2000</v>
      </c>
      <c r="K141" s="14" t="s">
        <v>836</v>
      </c>
      <c r="L141" t="s">
        <v>448</v>
      </c>
      <c r="M141" t="s">
        <v>292</v>
      </c>
      <c r="N141" t="s">
        <v>178</v>
      </c>
      <c r="O141" t="s">
        <v>25</v>
      </c>
      <c r="P141" t="s">
        <v>79</v>
      </c>
      <c r="Q141">
        <v>2004</v>
      </c>
      <c r="S141" s="37" t="str">
        <f t="shared" si="36"/>
        <v>INSERT INTO Tab1_Joueurs VALUES ('1997PorFáb', 'Fábio Vieira', 'Fábio', 'Attaquant', 'Portugal', '1997');</v>
      </c>
      <c r="T141">
        <f t="shared" si="30"/>
        <v>10</v>
      </c>
      <c r="U141">
        <f t="shared" si="31"/>
        <v>4</v>
      </c>
      <c r="V141">
        <f t="shared" si="32"/>
        <v>6</v>
      </c>
      <c r="W141">
        <f t="shared" si="33"/>
        <v>9</v>
      </c>
      <c r="X141">
        <f t="shared" si="34"/>
        <v>8</v>
      </c>
      <c r="Y141">
        <f t="shared" si="35"/>
        <v>4</v>
      </c>
    </row>
    <row r="142" spans="1:25" x14ac:dyDescent="0.35">
      <c r="A142" t="s">
        <v>471</v>
      </c>
      <c r="B142" t="s">
        <v>235</v>
      </c>
      <c r="C142" t="s">
        <v>235</v>
      </c>
      <c r="D142" t="s">
        <v>35</v>
      </c>
      <c r="E142" t="s">
        <v>11</v>
      </c>
      <c r="F142">
        <v>2001</v>
      </c>
      <c r="K142" s="14" t="s">
        <v>837</v>
      </c>
      <c r="L142" t="s">
        <v>449</v>
      </c>
      <c r="M142" t="s">
        <v>260</v>
      </c>
      <c r="N142" t="s">
        <v>78</v>
      </c>
      <c r="O142" t="s">
        <v>35</v>
      </c>
      <c r="P142" t="s">
        <v>79</v>
      </c>
      <c r="Q142">
        <v>2004</v>
      </c>
      <c r="S142" s="37" t="str">
        <f t="shared" si="36"/>
        <v>INSERT INTO Tab1_Joueurs VALUES ('2000PorLea', 'Leao', 'Rafael', 'Attaquant', 'Portugal', '2000');</v>
      </c>
      <c r="T142">
        <f t="shared" si="30"/>
        <v>10</v>
      </c>
      <c r="U142">
        <f t="shared" si="31"/>
        <v>4</v>
      </c>
      <c r="V142">
        <f t="shared" si="32"/>
        <v>4</v>
      </c>
      <c r="W142">
        <f t="shared" si="33"/>
        <v>9</v>
      </c>
      <c r="X142">
        <f t="shared" si="34"/>
        <v>8</v>
      </c>
      <c r="Y142">
        <f t="shared" si="35"/>
        <v>4</v>
      </c>
    </row>
    <row r="143" spans="1:25" x14ac:dyDescent="0.35">
      <c r="A143" t="s">
        <v>472</v>
      </c>
      <c r="B143" t="s">
        <v>297</v>
      </c>
      <c r="C143" t="s">
        <v>298</v>
      </c>
      <c r="D143" t="s">
        <v>25</v>
      </c>
      <c r="E143" t="s">
        <v>11</v>
      </c>
      <c r="F143">
        <v>2001</v>
      </c>
      <c r="K143" s="14" t="s">
        <v>838</v>
      </c>
      <c r="L143" t="s">
        <v>450</v>
      </c>
      <c r="M143" t="s">
        <v>196</v>
      </c>
      <c r="N143" t="s">
        <v>197</v>
      </c>
      <c r="O143" t="s">
        <v>25</v>
      </c>
      <c r="P143" t="s">
        <v>86</v>
      </c>
      <c r="Q143">
        <v>1994</v>
      </c>
      <c r="S143" s="37" t="str">
        <f t="shared" si="36"/>
        <v>INSERT INTO Tab1_Joueurs VALUES ('2001PorNun', 'Nuno', 'Nuno', 'Défenseur', 'Portugal', '2001');</v>
      </c>
      <c r="T143">
        <f t="shared" si="30"/>
        <v>10</v>
      </c>
      <c r="U143">
        <f t="shared" si="31"/>
        <v>7</v>
      </c>
      <c r="V143">
        <f t="shared" si="32"/>
        <v>5</v>
      </c>
      <c r="W143">
        <f t="shared" si="33"/>
        <v>6</v>
      </c>
      <c r="X143">
        <f t="shared" si="34"/>
        <v>8</v>
      </c>
      <c r="Y143">
        <f t="shared" si="35"/>
        <v>4</v>
      </c>
    </row>
    <row r="144" spans="1:25" x14ac:dyDescent="0.35">
      <c r="A144" t="s">
        <v>473</v>
      </c>
      <c r="B144" t="s">
        <v>45</v>
      </c>
      <c r="C144" t="s">
        <v>257</v>
      </c>
      <c r="D144" t="s">
        <v>7</v>
      </c>
      <c r="E144" t="s">
        <v>11</v>
      </c>
      <c r="F144">
        <v>2002</v>
      </c>
      <c r="K144" s="14" t="s">
        <v>839</v>
      </c>
      <c r="L144" t="s">
        <v>451</v>
      </c>
      <c r="M144" t="s">
        <v>84</v>
      </c>
      <c r="N144" t="s">
        <v>85</v>
      </c>
      <c r="O144" t="s">
        <v>35</v>
      </c>
      <c r="P144" t="s">
        <v>86</v>
      </c>
      <c r="Q144">
        <v>1999</v>
      </c>
      <c r="S144" s="37" t="str">
        <f t="shared" si="36"/>
        <v>INSERT INTO Tab1_Joueurs VALUES ('2001PorVit', 'Vitinha', 'Vítor', 'Milieu', 'Portugal', '2001');</v>
      </c>
      <c r="T144">
        <f t="shared" si="30"/>
        <v>10</v>
      </c>
      <c r="U144">
        <f t="shared" si="31"/>
        <v>5</v>
      </c>
      <c r="V144">
        <f t="shared" si="32"/>
        <v>7</v>
      </c>
      <c r="W144">
        <f t="shared" si="33"/>
        <v>9</v>
      </c>
      <c r="X144">
        <f t="shared" si="34"/>
        <v>8</v>
      </c>
      <c r="Y144">
        <f t="shared" si="35"/>
        <v>4</v>
      </c>
    </row>
    <row r="145" spans="1:25" x14ac:dyDescent="0.35">
      <c r="A145" t="s">
        <v>474</v>
      </c>
      <c r="B145" t="s">
        <v>190</v>
      </c>
      <c r="C145" t="s">
        <v>191</v>
      </c>
      <c r="D145" t="s">
        <v>35</v>
      </c>
      <c r="E145" t="s">
        <v>127</v>
      </c>
      <c r="F145">
        <v>1987</v>
      </c>
      <c r="K145" s="14" t="s">
        <v>840</v>
      </c>
      <c r="L145" t="s">
        <v>452</v>
      </c>
      <c r="M145" t="s">
        <v>325</v>
      </c>
      <c r="N145" t="s">
        <v>326</v>
      </c>
      <c r="O145" t="s">
        <v>42</v>
      </c>
      <c r="P145" t="s">
        <v>327</v>
      </c>
      <c r="Q145">
        <v>1986</v>
      </c>
      <c r="S145" s="37" t="str">
        <f t="shared" si="36"/>
        <v>INSERT INTO Tab1_Joueurs VALUES ('2002PorRam', 'Ramos', 'Gonçalo', 'Attaquant', 'Portugal', '2002');</v>
      </c>
      <c r="T145">
        <f t="shared" si="30"/>
        <v>10</v>
      </c>
      <c r="U145">
        <f t="shared" si="31"/>
        <v>7</v>
      </c>
      <c r="V145">
        <f t="shared" si="32"/>
        <v>10</v>
      </c>
      <c r="W145">
        <f t="shared" si="33"/>
        <v>9</v>
      </c>
      <c r="X145">
        <f t="shared" si="34"/>
        <v>6</v>
      </c>
      <c r="Y145">
        <f t="shared" si="35"/>
        <v>4</v>
      </c>
    </row>
    <row r="146" spans="1:25" x14ac:dyDescent="0.35">
      <c r="A146" t="s">
        <v>475</v>
      </c>
      <c r="B146" t="s">
        <v>125</v>
      </c>
      <c r="C146" t="s">
        <v>126</v>
      </c>
      <c r="D146" t="s">
        <v>25</v>
      </c>
      <c r="E146" t="s">
        <v>127</v>
      </c>
      <c r="F146">
        <v>1989</v>
      </c>
      <c r="K146" s="14" t="s">
        <v>841</v>
      </c>
      <c r="L146" t="s">
        <v>453</v>
      </c>
      <c r="M146" t="s">
        <v>122</v>
      </c>
      <c r="N146" t="s">
        <v>123</v>
      </c>
      <c r="O146" t="s">
        <v>7</v>
      </c>
      <c r="P146" t="s">
        <v>124</v>
      </c>
      <c r="Q146">
        <v>1999</v>
      </c>
      <c r="S146" s="37" t="str">
        <f t="shared" si="36"/>
        <v>INSERT INTO Tab1_Joueurs VALUES ('1987SerKol', 'Kolarov', 'Aleksandar', 'Défenseur', 'Serbie', '1987');</v>
      </c>
      <c r="T146">
        <f t="shared" si="30"/>
        <v>10</v>
      </c>
      <c r="U146">
        <f t="shared" si="31"/>
        <v>5</v>
      </c>
      <c r="V146">
        <f t="shared" si="32"/>
        <v>5</v>
      </c>
      <c r="W146">
        <f t="shared" si="33"/>
        <v>6</v>
      </c>
      <c r="X146">
        <f t="shared" si="34"/>
        <v>6</v>
      </c>
      <c r="Y146">
        <f t="shared" si="35"/>
        <v>4</v>
      </c>
    </row>
    <row r="147" spans="1:25" x14ac:dyDescent="0.35">
      <c r="A147" t="s">
        <v>476</v>
      </c>
      <c r="B147" t="s">
        <v>195</v>
      </c>
      <c r="C147" t="s">
        <v>24</v>
      </c>
      <c r="D147" t="s">
        <v>7</v>
      </c>
      <c r="E147" t="s">
        <v>127</v>
      </c>
      <c r="F147">
        <v>1995</v>
      </c>
      <c r="K147" s="14" t="s">
        <v>842</v>
      </c>
      <c r="L147" t="s">
        <v>454</v>
      </c>
      <c r="M147" t="s">
        <v>37</v>
      </c>
      <c r="N147" t="s">
        <v>38</v>
      </c>
      <c r="O147" t="s">
        <v>7</v>
      </c>
      <c r="P147" t="s">
        <v>39</v>
      </c>
      <c r="Q147">
        <v>2000</v>
      </c>
      <c r="S147" s="37" t="str">
        <f t="shared" si="36"/>
        <v>INSERT INTO Tab1_Joueurs VALUES ('1989SerTad', 'Tadic', 'Dusan', 'Milieu', 'Serbie', '1989');</v>
      </c>
      <c r="T147">
        <f t="shared" si="30"/>
        <v>10</v>
      </c>
      <c r="U147">
        <f t="shared" si="31"/>
        <v>5</v>
      </c>
      <c r="V147">
        <f t="shared" si="32"/>
        <v>4</v>
      </c>
      <c r="W147">
        <f t="shared" si="33"/>
        <v>9</v>
      </c>
      <c r="X147">
        <f t="shared" si="34"/>
        <v>6</v>
      </c>
      <c r="Y147">
        <f t="shared" si="35"/>
        <v>4</v>
      </c>
    </row>
    <row r="148" spans="1:25" x14ac:dyDescent="0.35">
      <c r="A148" t="s">
        <v>477</v>
      </c>
      <c r="B148" t="s">
        <v>307</v>
      </c>
      <c r="C148" t="s">
        <v>308</v>
      </c>
      <c r="D148" t="s">
        <v>42</v>
      </c>
      <c r="E148" t="s">
        <v>309</v>
      </c>
      <c r="F148">
        <v>1993</v>
      </c>
      <c r="K148" s="14" t="s">
        <v>843</v>
      </c>
      <c r="L148" t="s">
        <v>455</v>
      </c>
      <c r="M148" t="s">
        <v>164</v>
      </c>
      <c r="N148" t="s">
        <v>165</v>
      </c>
      <c r="O148" t="s">
        <v>7</v>
      </c>
      <c r="P148" t="s">
        <v>166</v>
      </c>
      <c r="Q148">
        <v>1990</v>
      </c>
      <c r="S148" s="37" t="str">
        <f t="shared" si="36"/>
        <v>INSERT INTO Tab1_Joueurs VALUES ('1995SerJov', 'Jović', 'Luka', 'Attaquant', 'Serbie', '1995');</v>
      </c>
      <c r="T148">
        <f t="shared" si="30"/>
        <v>10</v>
      </c>
      <c r="U148">
        <f t="shared" si="31"/>
        <v>5</v>
      </c>
      <c r="V148">
        <f t="shared" si="32"/>
        <v>3</v>
      </c>
      <c r="W148">
        <f t="shared" si="33"/>
        <v>7</v>
      </c>
      <c r="X148">
        <f t="shared" si="34"/>
        <v>8</v>
      </c>
      <c r="Y148">
        <f t="shared" si="35"/>
        <v>4</v>
      </c>
    </row>
    <row r="149" spans="1:25" x14ac:dyDescent="0.35">
      <c r="A149" t="s">
        <v>478</v>
      </c>
      <c r="B149" t="s">
        <v>159</v>
      </c>
      <c r="C149" t="s">
        <v>160</v>
      </c>
      <c r="D149" t="s">
        <v>7</v>
      </c>
      <c r="E149" t="s">
        <v>161</v>
      </c>
      <c r="F149">
        <v>1982</v>
      </c>
      <c r="K149" s="14" t="s">
        <v>844</v>
      </c>
      <c r="L149" t="s">
        <v>456</v>
      </c>
      <c r="M149" t="s">
        <v>162</v>
      </c>
      <c r="N149" t="s">
        <v>163</v>
      </c>
      <c r="O149" t="s">
        <v>7</v>
      </c>
      <c r="P149" t="s">
        <v>36</v>
      </c>
      <c r="Q149">
        <v>1985</v>
      </c>
      <c r="S149" s="37" t="str">
        <f t="shared" si="36"/>
        <v>INSERT INTO Tab1_Joueurs VALUES ('1993SloObl', 'Oblak', 'Jan', 'Gardien', 'Slovénie', '1993');</v>
      </c>
      <c r="T149">
        <f t="shared" si="30"/>
        <v>10</v>
      </c>
      <c r="U149">
        <f t="shared" si="31"/>
        <v>11</v>
      </c>
      <c r="V149">
        <f t="shared" si="32"/>
        <v>6</v>
      </c>
      <c r="W149">
        <f t="shared" si="33"/>
        <v>9</v>
      </c>
      <c r="X149">
        <f t="shared" si="34"/>
        <v>5</v>
      </c>
      <c r="Y149">
        <f t="shared" si="35"/>
        <v>4</v>
      </c>
    </row>
    <row r="150" spans="1:25" x14ac:dyDescent="0.35">
      <c r="A150" t="s">
        <v>479</v>
      </c>
      <c r="B150" t="s">
        <v>217</v>
      </c>
      <c r="C150" t="s">
        <v>218</v>
      </c>
      <c r="D150" t="s">
        <v>7</v>
      </c>
      <c r="E150" t="s">
        <v>161</v>
      </c>
      <c r="F150">
        <v>1999</v>
      </c>
      <c r="K150" s="14" t="s">
        <v>845</v>
      </c>
      <c r="L150" t="s">
        <v>457</v>
      </c>
      <c r="M150" t="s">
        <v>33</v>
      </c>
      <c r="N150" t="s">
        <v>34</v>
      </c>
      <c r="O150" t="s">
        <v>35</v>
      </c>
      <c r="P150" t="s">
        <v>36</v>
      </c>
      <c r="Q150">
        <v>1991</v>
      </c>
      <c r="S150" s="37" t="str">
        <f t="shared" si="36"/>
        <v>INSERT INTO Tab1_Joueurs VALUES ('1982SuèIbr', 'Ibrahimović', 'Zlatan', 'Attaquant', 'Suède', '1982');</v>
      </c>
      <c r="T150">
        <f t="shared" si="30"/>
        <v>10</v>
      </c>
      <c r="U150">
        <f t="shared" si="31"/>
        <v>10</v>
      </c>
      <c r="V150">
        <f t="shared" si="32"/>
        <v>5</v>
      </c>
      <c r="W150">
        <f t="shared" si="33"/>
        <v>9</v>
      </c>
      <c r="X150">
        <f t="shared" si="34"/>
        <v>5</v>
      </c>
      <c r="Y150">
        <f t="shared" si="35"/>
        <v>4</v>
      </c>
    </row>
    <row r="151" spans="1:25" x14ac:dyDescent="0.35">
      <c r="A151" t="s">
        <v>480</v>
      </c>
      <c r="B151" t="s">
        <v>320</v>
      </c>
      <c r="C151" t="s">
        <v>321</v>
      </c>
      <c r="D151" t="s">
        <v>42</v>
      </c>
      <c r="E151" t="s">
        <v>322</v>
      </c>
      <c r="F151">
        <v>1989</v>
      </c>
      <c r="K151" s="14" t="s">
        <v>846</v>
      </c>
      <c r="L151" t="s">
        <v>458</v>
      </c>
      <c r="M151" t="s">
        <v>101</v>
      </c>
      <c r="N151" t="s">
        <v>102</v>
      </c>
      <c r="O151" t="s">
        <v>7</v>
      </c>
      <c r="P151" t="s">
        <v>36</v>
      </c>
      <c r="Q151">
        <v>1994</v>
      </c>
      <c r="S151" s="37" t="str">
        <f t="shared" si="36"/>
        <v>INSERT INTO Tab1_Joueurs VALUES ('1999SuèKul', 'Kulusevski', 'Dejan', 'Attaquant', 'Suède', '1999');</v>
      </c>
      <c r="T151">
        <f t="shared" si="30"/>
        <v>10</v>
      </c>
      <c r="U151">
        <f t="shared" si="31"/>
        <v>6</v>
      </c>
      <c r="V151">
        <f t="shared" si="32"/>
        <v>4</v>
      </c>
      <c r="W151">
        <f t="shared" si="33"/>
        <v>7</v>
      </c>
      <c r="X151">
        <f t="shared" si="34"/>
        <v>6</v>
      </c>
      <c r="Y151">
        <f t="shared" si="35"/>
        <v>4</v>
      </c>
    </row>
    <row r="152" spans="1:25" x14ac:dyDescent="0.35">
      <c r="A152" t="s">
        <v>481</v>
      </c>
      <c r="B152" t="s">
        <v>244</v>
      </c>
      <c r="C152" t="s">
        <v>245</v>
      </c>
      <c r="D152" t="s">
        <v>7</v>
      </c>
      <c r="E152" t="s">
        <v>246</v>
      </c>
      <c r="F152">
        <v>2001</v>
      </c>
      <c r="K152" s="14" t="s">
        <v>847</v>
      </c>
      <c r="L152" t="s">
        <v>459</v>
      </c>
      <c r="M152" t="s">
        <v>261</v>
      </c>
      <c r="N152" t="s">
        <v>262</v>
      </c>
      <c r="O152" t="s">
        <v>35</v>
      </c>
      <c r="P152" t="s">
        <v>36</v>
      </c>
      <c r="Q152">
        <v>2002</v>
      </c>
      <c r="S152" s="37" t="str">
        <f t="shared" si="36"/>
        <v>INSERT INTO Tab1_Joueurs VALUES ('1989SuiSom', 'Sommer', 'Yann', 'Gardien', 'Suisse', '1989');</v>
      </c>
      <c r="T152">
        <f t="shared" si="30"/>
        <v>10</v>
      </c>
      <c r="U152">
        <f t="shared" si="31"/>
        <v>6</v>
      </c>
      <c r="V152">
        <f t="shared" si="32"/>
        <v>8</v>
      </c>
      <c r="W152">
        <f t="shared" si="33"/>
        <v>9</v>
      </c>
      <c r="X152">
        <f t="shared" si="34"/>
        <v>7</v>
      </c>
      <c r="Y152">
        <f t="shared" si="35"/>
        <v>4</v>
      </c>
    </row>
    <row r="153" spans="1:25" x14ac:dyDescent="0.35">
      <c r="A153" t="s">
        <v>482</v>
      </c>
      <c r="B153" t="s">
        <v>328</v>
      </c>
      <c r="C153" t="s">
        <v>329</v>
      </c>
      <c r="D153" t="s">
        <v>42</v>
      </c>
      <c r="E153" t="s">
        <v>246</v>
      </c>
      <c r="F153">
        <v>2002</v>
      </c>
      <c r="K153" s="14" t="s">
        <v>848</v>
      </c>
      <c r="L153" t="s">
        <v>460</v>
      </c>
      <c r="M153" t="s">
        <v>284</v>
      </c>
      <c r="N153" t="s">
        <v>49</v>
      </c>
      <c r="O153" t="s">
        <v>7</v>
      </c>
      <c r="P153" t="s">
        <v>36</v>
      </c>
      <c r="Q153">
        <v>2002</v>
      </c>
      <c r="S153" s="37" t="str">
        <f t="shared" si="36"/>
        <v>INSERT INTO Tab1_Joueurs VALUES ('2001UkrMud', 'Mudryk', 'Mykhailo', 'Attaquant', 'Ukraine', '2001');</v>
      </c>
      <c r="T153">
        <f t="shared" si="30"/>
        <v>10</v>
      </c>
      <c r="U153">
        <f t="shared" si="31"/>
        <v>6</v>
      </c>
      <c r="V153">
        <f t="shared" si="32"/>
        <v>8</v>
      </c>
      <c r="W153">
        <f t="shared" si="33"/>
        <v>7</v>
      </c>
      <c r="X153">
        <f t="shared" si="34"/>
        <v>7</v>
      </c>
      <c r="Y153">
        <f t="shared" si="35"/>
        <v>4</v>
      </c>
    </row>
    <row r="154" spans="1:25" x14ac:dyDescent="0.35">
      <c r="A154" t="s">
        <v>483</v>
      </c>
      <c r="B154" t="s">
        <v>57</v>
      </c>
      <c r="C154" t="s">
        <v>58</v>
      </c>
      <c r="D154" t="s">
        <v>7</v>
      </c>
      <c r="E154" t="s">
        <v>59</v>
      </c>
      <c r="F154">
        <v>1987</v>
      </c>
      <c r="K154" s="14" t="s">
        <v>849</v>
      </c>
      <c r="L154" t="s">
        <v>461</v>
      </c>
      <c r="M154" t="s">
        <v>211</v>
      </c>
      <c r="N154" t="s">
        <v>212</v>
      </c>
      <c r="O154" t="s">
        <v>25</v>
      </c>
      <c r="P154" t="s">
        <v>36</v>
      </c>
      <c r="Q154">
        <v>2003</v>
      </c>
      <c r="S154" s="37" t="str">
        <f t="shared" si="36"/>
        <v>INSERT INTO Tab1_Joueurs VALUES ('2002UkrTru', 'Trubin', 'Anatoliy', 'Gardien', 'Ukraine', '2002');</v>
      </c>
      <c r="T154">
        <f t="shared" si="30"/>
        <v>10</v>
      </c>
      <c r="U154">
        <f t="shared" si="31"/>
        <v>6</v>
      </c>
      <c r="V154">
        <f t="shared" si="32"/>
        <v>4</v>
      </c>
      <c r="W154">
        <f t="shared" si="33"/>
        <v>9</v>
      </c>
      <c r="X154">
        <f t="shared" si="34"/>
        <v>7</v>
      </c>
      <c r="Y154">
        <f t="shared" si="35"/>
        <v>4</v>
      </c>
    </row>
    <row r="155" spans="1:25" x14ac:dyDescent="0.35">
      <c r="A155" t="s">
        <v>484</v>
      </c>
      <c r="B155" t="s">
        <v>167</v>
      </c>
      <c r="C155" t="s">
        <v>168</v>
      </c>
      <c r="D155" t="s">
        <v>7</v>
      </c>
      <c r="E155" t="s">
        <v>59</v>
      </c>
      <c r="F155">
        <v>1988</v>
      </c>
      <c r="K155" s="14" t="s">
        <v>850</v>
      </c>
      <c r="L155" t="s">
        <v>462</v>
      </c>
      <c r="M155" t="s">
        <v>278</v>
      </c>
      <c r="N155" t="s">
        <v>153</v>
      </c>
      <c r="O155" t="s">
        <v>25</v>
      </c>
      <c r="P155" t="s">
        <v>36</v>
      </c>
      <c r="Q155">
        <v>2004</v>
      </c>
      <c r="S155" s="37" t="str">
        <f t="shared" si="36"/>
        <v>INSERT INTO Tab1_Joueurs VALUES ('1987UruSuá', 'Suárez', 'Luis', 'Attaquant', 'Uruguay', '1987');</v>
      </c>
      <c r="T155">
        <f t="shared" si="30"/>
        <v>10</v>
      </c>
      <c r="U155">
        <f t="shared" si="31"/>
        <v>6</v>
      </c>
      <c r="V155">
        <f t="shared" si="32"/>
        <v>7</v>
      </c>
      <c r="W155">
        <f t="shared" si="33"/>
        <v>9</v>
      </c>
      <c r="X155">
        <f t="shared" si="34"/>
        <v>7</v>
      </c>
      <c r="Y155">
        <f t="shared" si="35"/>
        <v>4</v>
      </c>
    </row>
    <row r="156" spans="1:25" x14ac:dyDescent="0.35">
      <c r="A156" t="s">
        <v>485</v>
      </c>
      <c r="B156" t="s">
        <v>113</v>
      </c>
      <c r="C156" t="s">
        <v>114</v>
      </c>
      <c r="D156" t="s">
        <v>25</v>
      </c>
      <c r="E156" t="s">
        <v>59</v>
      </c>
      <c r="F156">
        <v>1998</v>
      </c>
      <c r="K156" s="14" t="s">
        <v>851</v>
      </c>
      <c r="L156" t="s">
        <v>463</v>
      </c>
      <c r="M156" t="s">
        <v>18</v>
      </c>
      <c r="N156" t="s">
        <v>19</v>
      </c>
      <c r="O156" t="s">
        <v>7</v>
      </c>
      <c r="P156" t="s">
        <v>20</v>
      </c>
      <c r="Q156">
        <v>1988</v>
      </c>
      <c r="S156" s="37" t="str">
        <f t="shared" si="36"/>
        <v>INSERT INTO Tab1_Joueurs VALUES ('1988UruCav', 'Cavani', 'Edinson', 'Attaquant', 'Uruguay', '1988');</v>
      </c>
      <c r="T156">
        <f t="shared" si="30"/>
        <v>10</v>
      </c>
      <c r="U156">
        <f t="shared" si="31"/>
        <v>8</v>
      </c>
      <c r="V156">
        <f t="shared" si="32"/>
        <v>8</v>
      </c>
      <c r="W156">
        <f t="shared" si="33"/>
        <v>6</v>
      </c>
      <c r="X156">
        <f t="shared" si="34"/>
        <v>7</v>
      </c>
      <c r="Y156">
        <f t="shared" si="35"/>
        <v>4</v>
      </c>
    </row>
    <row r="157" spans="1:25" x14ac:dyDescent="0.35">
      <c r="A157" t="s">
        <v>486</v>
      </c>
      <c r="B157" t="s">
        <v>264</v>
      </c>
      <c r="C157" t="s">
        <v>67</v>
      </c>
      <c r="D157" t="s">
        <v>25</v>
      </c>
      <c r="E157" t="s">
        <v>59</v>
      </c>
      <c r="F157">
        <v>2002</v>
      </c>
      <c r="K157" s="14" t="s">
        <v>852</v>
      </c>
      <c r="L157" t="s">
        <v>464</v>
      </c>
      <c r="M157" t="s">
        <v>314</v>
      </c>
      <c r="N157" t="s">
        <v>315</v>
      </c>
      <c r="O157" t="s">
        <v>42</v>
      </c>
      <c r="P157" t="s">
        <v>20</v>
      </c>
      <c r="Q157">
        <v>1991</v>
      </c>
      <c r="S157" s="37" t="str">
        <f t="shared" si="36"/>
        <v>INSERT INTO Tab1_Joueurs VALUES ('1998UruVal', 'Valverde', 'Federico', 'Milieu', 'Uruguay', '1998');</v>
      </c>
      <c r="T157">
        <f t="shared" si="30"/>
        <v>10</v>
      </c>
      <c r="U157">
        <f t="shared" si="31"/>
        <v>6</v>
      </c>
      <c r="V157">
        <f t="shared" si="32"/>
        <v>6</v>
      </c>
      <c r="W157">
        <f t="shared" si="33"/>
        <v>6</v>
      </c>
      <c r="X157">
        <f t="shared" si="34"/>
        <v>7</v>
      </c>
      <c r="Y157">
        <f t="shared" si="35"/>
        <v>4</v>
      </c>
    </row>
    <row r="158" spans="1:25" x14ac:dyDescent="0.35">
      <c r="K158" s="14" t="s">
        <v>853</v>
      </c>
      <c r="L158" t="s">
        <v>465</v>
      </c>
      <c r="M158" t="s">
        <v>9</v>
      </c>
      <c r="N158" t="s">
        <v>10</v>
      </c>
      <c r="O158" t="s">
        <v>7</v>
      </c>
      <c r="P158" t="s">
        <v>11</v>
      </c>
      <c r="Q158">
        <v>1985</v>
      </c>
      <c r="S158" s="37" t="str">
        <f t="shared" si="36"/>
        <v>INSERT INTO Tab1_Joueurs VALUES ('2002UruUga', 'Ugarte', 'Manuel', 'Milieu', 'Uruguay', '2002');</v>
      </c>
    </row>
    <row r="159" spans="1:25" x14ac:dyDescent="0.35">
      <c r="K159" s="14" t="s">
        <v>854</v>
      </c>
      <c r="L159" t="s">
        <v>466</v>
      </c>
      <c r="M159" t="s">
        <v>179</v>
      </c>
      <c r="N159" t="s">
        <v>65</v>
      </c>
      <c r="O159" t="s">
        <v>25</v>
      </c>
      <c r="P159" t="s">
        <v>11</v>
      </c>
      <c r="Q159">
        <v>1994</v>
      </c>
    </row>
    <row r="160" spans="1:25" x14ac:dyDescent="0.35">
      <c r="K160" s="14" t="s">
        <v>855</v>
      </c>
      <c r="L160" t="s">
        <v>467</v>
      </c>
      <c r="M160" t="s">
        <v>93</v>
      </c>
      <c r="N160" t="s">
        <v>94</v>
      </c>
      <c r="O160" t="s">
        <v>25</v>
      </c>
      <c r="P160" t="s">
        <v>11</v>
      </c>
      <c r="Q160">
        <v>1995</v>
      </c>
    </row>
    <row r="161" spans="11:17" x14ac:dyDescent="0.35">
      <c r="K161" s="14" t="s">
        <v>856</v>
      </c>
      <c r="L161" t="s">
        <v>468</v>
      </c>
      <c r="M161" t="s">
        <v>95</v>
      </c>
      <c r="N161" t="s">
        <v>96</v>
      </c>
      <c r="O161" t="s">
        <v>35</v>
      </c>
      <c r="P161" t="s">
        <v>11</v>
      </c>
      <c r="Q161">
        <v>1997</v>
      </c>
    </row>
    <row r="162" spans="11:17" x14ac:dyDescent="0.35">
      <c r="K162" s="14" t="s">
        <v>857</v>
      </c>
      <c r="L162" t="s">
        <v>469</v>
      </c>
      <c r="M162" t="s">
        <v>201</v>
      </c>
      <c r="N162" t="s">
        <v>202</v>
      </c>
      <c r="O162" t="s">
        <v>7</v>
      </c>
      <c r="P162" t="s">
        <v>11</v>
      </c>
      <c r="Q162">
        <v>1997</v>
      </c>
    </row>
    <row r="163" spans="11:17" x14ac:dyDescent="0.35">
      <c r="K163" s="14" t="s">
        <v>858</v>
      </c>
      <c r="L163" t="s">
        <v>470</v>
      </c>
      <c r="M163" t="s">
        <v>282</v>
      </c>
      <c r="N163" t="s">
        <v>283</v>
      </c>
      <c r="O163" t="s">
        <v>7</v>
      </c>
      <c r="P163" t="s">
        <v>11</v>
      </c>
      <c r="Q163">
        <v>2000</v>
      </c>
    </row>
    <row r="164" spans="11:17" x14ac:dyDescent="0.35">
      <c r="K164" s="14" t="s">
        <v>859</v>
      </c>
      <c r="L164" t="s">
        <v>471</v>
      </c>
      <c r="M164" t="s">
        <v>235</v>
      </c>
      <c r="N164" t="s">
        <v>235</v>
      </c>
      <c r="O164" t="s">
        <v>35</v>
      </c>
      <c r="P164" t="s">
        <v>11</v>
      </c>
      <c r="Q164">
        <v>2001</v>
      </c>
    </row>
    <row r="165" spans="11:17" x14ac:dyDescent="0.35">
      <c r="K165" s="14" t="s">
        <v>860</v>
      </c>
      <c r="L165" t="s">
        <v>472</v>
      </c>
      <c r="M165" t="s">
        <v>297</v>
      </c>
      <c r="N165" t="s">
        <v>298</v>
      </c>
      <c r="O165" t="s">
        <v>25</v>
      </c>
      <c r="P165" t="s">
        <v>11</v>
      </c>
      <c r="Q165">
        <v>2001</v>
      </c>
    </row>
    <row r="166" spans="11:17" x14ac:dyDescent="0.35">
      <c r="K166" s="14" t="s">
        <v>861</v>
      </c>
      <c r="L166" t="s">
        <v>473</v>
      </c>
      <c r="M166" t="s">
        <v>45</v>
      </c>
      <c r="N166" t="s">
        <v>257</v>
      </c>
      <c r="O166" t="s">
        <v>7</v>
      </c>
      <c r="P166" t="s">
        <v>11</v>
      </c>
      <c r="Q166">
        <v>2002</v>
      </c>
    </row>
    <row r="167" spans="11:17" x14ac:dyDescent="0.35">
      <c r="K167" s="14" t="s">
        <v>862</v>
      </c>
      <c r="L167" t="s">
        <v>474</v>
      </c>
      <c r="M167" t="s">
        <v>190</v>
      </c>
      <c r="N167" t="s">
        <v>191</v>
      </c>
      <c r="O167" t="s">
        <v>35</v>
      </c>
      <c r="P167" t="s">
        <v>127</v>
      </c>
      <c r="Q167">
        <v>1987</v>
      </c>
    </row>
    <row r="168" spans="11:17" x14ac:dyDescent="0.35">
      <c r="K168" s="14" t="s">
        <v>863</v>
      </c>
      <c r="L168" t="s">
        <v>475</v>
      </c>
      <c r="M168" t="s">
        <v>125</v>
      </c>
      <c r="N168" t="s">
        <v>126</v>
      </c>
      <c r="O168" t="s">
        <v>25</v>
      </c>
      <c r="P168" t="s">
        <v>127</v>
      </c>
      <c r="Q168">
        <v>1989</v>
      </c>
    </row>
    <row r="169" spans="11:17" x14ac:dyDescent="0.35">
      <c r="K169" s="14" t="s">
        <v>864</v>
      </c>
      <c r="L169" t="s">
        <v>476</v>
      </c>
      <c r="M169" t="s">
        <v>195</v>
      </c>
      <c r="N169" t="s">
        <v>24</v>
      </c>
      <c r="O169" t="s">
        <v>7</v>
      </c>
      <c r="P169" t="s">
        <v>127</v>
      </c>
      <c r="Q169">
        <v>1995</v>
      </c>
    </row>
    <row r="170" spans="11:17" x14ac:dyDescent="0.35">
      <c r="K170" s="14" t="s">
        <v>865</v>
      </c>
      <c r="L170" t="s">
        <v>477</v>
      </c>
      <c r="M170" t="s">
        <v>307</v>
      </c>
      <c r="N170" t="s">
        <v>308</v>
      </c>
      <c r="O170" t="s">
        <v>42</v>
      </c>
      <c r="P170" t="s">
        <v>309</v>
      </c>
      <c r="Q170">
        <v>1993</v>
      </c>
    </row>
    <row r="171" spans="11:17" x14ac:dyDescent="0.35">
      <c r="K171" s="14" t="s">
        <v>866</v>
      </c>
      <c r="L171" t="s">
        <v>478</v>
      </c>
      <c r="M171" t="s">
        <v>159</v>
      </c>
      <c r="N171" t="s">
        <v>160</v>
      </c>
      <c r="O171" t="s">
        <v>7</v>
      </c>
      <c r="P171" t="s">
        <v>161</v>
      </c>
      <c r="Q171">
        <v>1982</v>
      </c>
    </row>
    <row r="172" spans="11:17" x14ac:dyDescent="0.35">
      <c r="K172" s="14" t="s">
        <v>867</v>
      </c>
      <c r="L172" t="s">
        <v>479</v>
      </c>
      <c r="M172" t="s">
        <v>217</v>
      </c>
      <c r="N172" t="s">
        <v>218</v>
      </c>
      <c r="O172" t="s">
        <v>7</v>
      </c>
      <c r="P172" t="s">
        <v>161</v>
      </c>
      <c r="Q172">
        <v>1999</v>
      </c>
    </row>
    <row r="173" spans="11:17" x14ac:dyDescent="0.35">
      <c r="K173" s="14" t="s">
        <v>868</v>
      </c>
      <c r="L173" t="s">
        <v>480</v>
      </c>
      <c r="M173" t="s">
        <v>320</v>
      </c>
      <c r="N173" t="s">
        <v>321</v>
      </c>
      <c r="O173" t="s">
        <v>42</v>
      </c>
      <c r="P173" t="s">
        <v>322</v>
      </c>
      <c r="Q173">
        <v>1989</v>
      </c>
    </row>
    <row r="174" spans="11:17" x14ac:dyDescent="0.35">
      <c r="K174" s="14" t="s">
        <v>869</v>
      </c>
      <c r="L174" t="s">
        <v>481</v>
      </c>
      <c r="M174" t="s">
        <v>244</v>
      </c>
      <c r="N174" t="s">
        <v>245</v>
      </c>
      <c r="O174" t="s">
        <v>7</v>
      </c>
      <c r="P174" t="s">
        <v>246</v>
      </c>
      <c r="Q174">
        <v>2001</v>
      </c>
    </row>
    <row r="175" spans="11:17" x14ac:dyDescent="0.35">
      <c r="K175" s="14" t="s">
        <v>870</v>
      </c>
      <c r="L175" t="s">
        <v>482</v>
      </c>
      <c r="M175" t="s">
        <v>328</v>
      </c>
      <c r="N175" t="s">
        <v>329</v>
      </c>
      <c r="O175" t="s">
        <v>42</v>
      </c>
      <c r="P175" t="s">
        <v>246</v>
      </c>
      <c r="Q175">
        <v>2002</v>
      </c>
    </row>
    <row r="176" spans="11:17" x14ac:dyDescent="0.35">
      <c r="K176" s="14" t="s">
        <v>871</v>
      </c>
      <c r="L176" t="s">
        <v>483</v>
      </c>
      <c r="M176" t="s">
        <v>57</v>
      </c>
      <c r="N176" t="s">
        <v>58</v>
      </c>
      <c r="O176" t="s">
        <v>7</v>
      </c>
      <c r="P176" t="s">
        <v>59</v>
      </c>
      <c r="Q176">
        <v>1987</v>
      </c>
    </row>
    <row r="177" spans="11:17" x14ac:dyDescent="0.35">
      <c r="K177" s="14" t="s">
        <v>872</v>
      </c>
      <c r="L177" t="s">
        <v>484</v>
      </c>
      <c r="M177" t="s">
        <v>167</v>
      </c>
      <c r="N177" t="s">
        <v>168</v>
      </c>
      <c r="O177" t="s">
        <v>7</v>
      </c>
      <c r="P177" t="s">
        <v>59</v>
      </c>
      <c r="Q177">
        <v>1988</v>
      </c>
    </row>
    <row r="178" spans="11:17" x14ac:dyDescent="0.35">
      <c r="K178" s="14" t="s">
        <v>873</v>
      </c>
      <c r="L178" t="s">
        <v>485</v>
      </c>
      <c r="M178" t="s">
        <v>113</v>
      </c>
      <c r="N178" t="s">
        <v>114</v>
      </c>
      <c r="O178" t="s">
        <v>25</v>
      </c>
      <c r="P178" t="s">
        <v>59</v>
      </c>
      <c r="Q178">
        <v>1998</v>
      </c>
    </row>
    <row r="179" spans="11:17" x14ac:dyDescent="0.35">
      <c r="K179" s="14" t="s">
        <v>874</v>
      </c>
      <c r="L179" t="s">
        <v>486</v>
      </c>
      <c r="M179" t="s">
        <v>264</v>
      </c>
      <c r="N179" t="s">
        <v>67</v>
      </c>
      <c r="O179" t="s">
        <v>25</v>
      </c>
      <c r="P179" t="s">
        <v>59</v>
      </c>
      <c r="Q179">
        <v>2002</v>
      </c>
    </row>
  </sheetData>
  <sortState xmlns:xlrd2="http://schemas.microsoft.com/office/spreadsheetml/2017/richdata2" ref="A2:F157">
    <sortCondition ref="E2:E157"/>
    <sortCondition ref="F2:F157"/>
    <sortCondition ref="B2:B157"/>
    <sortCondition ref="C2:C157"/>
  </sortState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8AD9-D551-49A3-9F03-BA389D73687D}">
  <dimension ref="A1:AE157"/>
  <sheetViews>
    <sheetView workbookViewId="0">
      <pane ySplit="1" topLeftCell="A2" activePane="bottomLeft" state="frozen"/>
      <selection pane="bottomLeft" activeCell="L5" sqref="L5"/>
    </sheetView>
  </sheetViews>
  <sheetFormatPr baseColWidth="10" defaultRowHeight="14.5" x14ac:dyDescent="0.35"/>
  <cols>
    <col min="2" max="2" width="15.7265625" customWidth="1"/>
    <col min="3" max="3" width="14.7265625" customWidth="1"/>
    <col min="4" max="4" width="13.08984375" customWidth="1"/>
    <col min="5" max="5" width="13.453125" customWidth="1"/>
    <col min="6" max="9" width="9.6328125" customWidth="1"/>
    <col min="10" max="10" width="39.453125" customWidth="1"/>
    <col min="11" max="11" width="18.7265625" bestFit="1" customWidth="1"/>
    <col min="12" max="16" width="15.453125" customWidth="1"/>
    <col min="17" max="17" width="16.1796875" customWidth="1"/>
    <col min="19" max="19" width="24.90625" customWidth="1"/>
  </cols>
  <sheetData>
    <row r="1" spans="1:31" x14ac:dyDescent="0.35">
      <c r="A1" s="1" t="s">
        <v>330</v>
      </c>
      <c r="B1" s="1" t="s">
        <v>504</v>
      </c>
      <c r="C1" s="1" t="s">
        <v>503</v>
      </c>
      <c r="D1" s="1" t="s">
        <v>505</v>
      </c>
      <c r="E1" s="1" t="s">
        <v>506</v>
      </c>
      <c r="J1" s="11" t="s">
        <v>691</v>
      </c>
      <c r="K1" s="12" t="s">
        <v>711</v>
      </c>
      <c r="L1" s="12" t="s">
        <v>683</v>
      </c>
      <c r="M1" s="13" t="s">
        <v>684</v>
      </c>
      <c r="N1" s="13" t="s">
        <v>685</v>
      </c>
      <c r="O1" s="13" t="s">
        <v>686</v>
      </c>
      <c r="P1" s="13" t="s">
        <v>687</v>
      </c>
      <c r="S1" s="32" t="s">
        <v>1405</v>
      </c>
      <c r="T1" s="9">
        <f>MAX(T2:T157)</f>
        <v>7</v>
      </c>
      <c r="U1" s="9">
        <f t="shared" ref="U1:Y1" si="0">MAX(U2:U157)</f>
        <v>10</v>
      </c>
      <c r="V1" s="9">
        <f t="shared" si="0"/>
        <v>10</v>
      </c>
      <c r="W1" s="9">
        <f t="shared" si="0"/>
        <v>10</v>
      </c>
      <c r="X1" s="9">
        <f t="shared" si="0"/>
        <v>11</v>
      </c>
      <c r="Y1" s="9" t="e">
        <f t="shared" si="0"/>
        <v>#REF!</v>
      </c>
      <c r="Z1" t="s">
        <v>706</v>
      </c>
    </row>
    <row r="2" spans="1:31" x14ac:dyDescent="0.35">
      <c r="A2" t="s">
        <v>542</v>
      </c>
      <c r="B2" t="s">
        <v>67</v>
      </c>
      <c r="C2" t="s">
        <v>507</v>
      </c>
      <c r="D2" t="s">
        <v>487</v>
      </c>
      <c r="E2" t="s">
        <v>527</v>
      </c>
      <c r="J2" s="11" t="s">
        <v>690</v>
      </c>
      <c r="K2" s="10" t="s">
        <v>712</v>
      </c>
      <c r="L2" s="1" t="s">
        <v>330</v>
      </c>
      <c r="M2" s="1" t="s">
        <v>504</v>
      </c>
      <c r="N2" s="1" t="s">
        <v>503</v>
      </c>
      <c r="O2" s="1" t="s">
        <v>505</v>
      </c>
      <c r="P2" s="1" t="s">
        <v>506</v>
      </c>
      <c r="S2" t="str">
        <f t="shared" ref="S2:S21" si="1">CONCATENATE("INSERT INTO Tab2_Goalkeeper VALUES ('",A2,$S$1,B2,$S$1,C2,$S$1,D2,$S$1,E2,"');")</f>
        <v>INSERT INTO Tab2_Goalkeeper VALUES ('GERGK01', 'Manuel', 'NEUER', 'Goalkeeper', 'GERMANY');</v>
      </c>
      <c r="T2">
        <f t="shared" ref="T2:T33" si="2">LEN(A2)</f>
        <v>7</v>
      </c>
      <c r="U2">
        <f t="shared" ref="U2:U33" si="3">LEN(B2)</f>
        <v>6</v>
      </c>
      <c r="V2">
        <f t="shared" ref="V2:V33" si="4">LEN(C2)</f>
        <v>5</v>
      </c>
      <c r="W2">
        <f t="shared" ref="W2:W33" si="5">LEN(D2)</f>
        <v>10</v>
      </c>
      <c r="X2">
        <f t="shared" ref="X2:X33" si="6">LEN(E2)</f>
        <v>7</v>
      </c>
      <c r="Y2" t="e">
        <f>LEN(#REF!)</f>
        <v>#REF!</v>
      </c>
      <c r="Z2" t="e">
        <f>MIN(#REF!)</f>
        <v>#REF!</v>
      </c>
    </row>
    <row r="3" spans="1:31" x14ac:dyDescent="0.35">
      <c r="A3" t="s">
        <v>543</v>
      </c>
      <c r="B3" t="s">
        <v>304</v>
      </c>
      <c r="C3" t="s">
        <v>508</v>
      </c>
      <c r="D3" t="s">
        <v>487</v>
      </c>
      <c r="E3" t="s">
        <v>527</v>
      </c>
      <c r="J3" s="11" t="s">
        <v>689</v>
      </c>
      <c r="K3" s="10" t="s">
        <v>878</v>
      </c>
      <c r="L3" s="10" t="s">
        <v>692</v>
      </c>
      <c r="M3" s="10" t="s">
        <v>692</v>
      </c>
      <c r="N3" s="10" t="s">
        <v>692</v>
      </c>
      <c r="O3" s="10" t="s">
        <v>692</v>
      </c>
      <c r="P3" s="10" t="s">
        <v>692</v>
      </c>
      <c r="S3" t="str">
        <f t="shared" si="1"/>
        <v>INSERT INTO Tab2_Goalkeeper VALUES ('GERGK02', 'Marc-André', 'TER STEGEN', 'Goalkeeper', 'GERMANY');</v>
      </c>
      <c r="T3">
        <f t="shared" si="2"/>
        <v>7</v>
      </c>
      <c r="U3">
        <f t="shared" si="3"/>
        <v>10</v>
      </c>
      <c r="V3">
        <f t="shared" si="4"/>
        <v>10</v>
      </c>
      <c r="W3">
        <f t="shared" si="5"/>
        <v>10</v>
      </c>
      <c r="X3">
        <f t="shared" si="6"/>
        <v>7</v>
      </c>
      <c r="Y3" t="e">
        <f>LEN(#REF!)</f>
        <v>#REF!</v>
      </c>
      <c r="Z3" t="s">
        <v>707</v>
      </c>
    </row>
    <row r="4" spans="1:31" x14ac:dyDescent="0.35">
      <c r="A4" t="s">
        <v>544</v>
      </c>
      <c r="B4" t="s">
        <v>313</v>
      </c>
      <c r="C4" t="s">
        <v>509</v>
      </c>
      <c r="D4" t="s">
        <v>487</v>
      </c>
      <c r="E4" t="s">
        <v>528</v>
      </c>
      <c r="J4" s="11" t="s">
        <v>695</v>
      </c>
      <c r="K4" s="10" t="s">
        <v>878</v>
      </c>
      <c r="L4" s="10">
        <v>7</v>
      </c>
      <c r="M4" s="10">
        <v>10</v>
      </c>
      <c r="N4" s="10">
        <v>10</v>
      </c>
      <c r="O4" s="10">
        <v>10</v>
      </c>
      <c r="P4" s="10">
        <v>11</v>
      </c>
      <c r="S4" t="str">
        <f t="shared" si="1"/>
        <v>INSERT INTO Tab2_Goalkeeper VALUES ('ENGGK03', 'Nick', 'POPE', 'Goalkeeper', 'ENGLAND');</v>
      </c>
      <c r="T4">
        <f t="shared" si="2"/>
        <v>7</v>
      </c>
      <c r="U4">
        <f t="shared" si="3"/>
        <v>4</v>
      </c>
      <c r="V4">
        <f t="shared" si="4"/>
        <v>4</v>
      </c>
      <c r="W4">
        <f t="shared" si="5"/>
        <v>10</v>
      </c>
      <c r="X4">
        <f t="shared" si="6"/>
        <v>7</v>
      </c>
      <c r="Y4" t="e">
        <f>LEN(#REF!)</f>
        <v>#REF!</v>
      </c>
      <c r="Z4" t="e">
        <f>MAX(#REF!)</f>
        <v>#REF!</v>
      </c>
    </row>
    <row r="5" spans="1:31" x14ac:dyDescent="0.35">
      <c r="A5" t="s">
        <v>545</v>
      </c>
      <c r="B5" t="s">
        <v>319</v>
      </c>
      <c r="C5" t="s">
        <v>510</v>
      </c>
      <c r="D5" t="s">
        <v>487</v>
      </c>
      <c r="E5" t="s">
        <v>528</v>
      </c>
      <c r="J5" s="11" t="s">
        <v>694</v>
      </c>
      <c r="K5" s="10" t="s">
        <v>878</v>
      </c>
      <c r="L5" s="10" t="s">
        <v>886</v>
      </c>
      <c r="M5" s="10" t="s">
        <v>696</v>
      </c>
      <c r="N5" s="10" t="s">
        <v>884</v>
      </c>
      <c r="O5" s="10" t="s">
        <v>696</v>
      </c>
      <c r="P5" s="10" t="s">
        <v>884</v>
      </c>
      <c r="S5" t="str">
        <f t="shared" si="1"/>
        <v>INSERT INTO Tab2_Goalkeeper VALUES ('ENGGK04', 'Jordan', 'PICKFORD', 'Goalkeeper', 'ENGLAND');</v>
      </c>
      <c r="T5">
        <f t="shared" si="2"/>
        <v>7</v>
      </c>
      <c r="U5">
        <f t="shared" si="3"/>
        <v>6</v>
      </c>
      <c r="V5">
        <f t="shared" si="4"/>
        <v>8</v>
      </c>
      <c r="W5">
        <f t="shared" si="5"/>
        <v>10</v>
      </c>
      <c r="X5">
        <f t="shared" si="6"/>
        <v>7</v>
      </c>
      <c r="Y5" t="e">
        <f>LEN(#REF!)</f>
        <v>#REF!</v>
      </c>
      <c r="Z5" t="s">
        <v>709</v>
      </c>
    </row>
    <row r="6" spans="1:31" x14ac:dyDescent="0.35">
      <c r="A6" t="s">
        <v>546</v>
      </c>
      <c r="B6" t="s">
        <v>311</v>
      </c>
      <c r="C6" t="s">
        <v>511</v>
      </c>
      <c r="D6" t="s">
        <v>487</v>
      </c>
      <c r="E6" t="s">
        <v>528</v>
      </c>
      <c r="J6" s="11" t="s">
        <v>700</v>
      </c>
      <c r="K6" s="10" t="s">
        <v>878</v>
      </c>
      <c r="L6" s="10"/>
      <c r="M6" s="10" t="s">
        <v>885</v>
      </c>
      <c r="N6" s="10" t="s">
        <v>885</v>
      </c>
      <c r="O6" s="10" t="s">
        <v>883</v>
      </c>
      <c r="P6" s="10" t="s">
        <v>883</v>
      </c>
      <c r="S6" t="str">
        <f t="shared" si="1"/>
        <v>INSERT INTO Tab2_Goalkeeper VALUES ('ENGGK05', 'Aaron', 'RAMSDALE', 'Goalkeeper', 'ENGLAND');</v>
      </c>
      <c r="T6">
        <f t="shared" si="2"/>
        <v>7</v>
      </c>
      <c r="U6">
        <f t="shared" si="3"/>
        <v>5</v>
      </c>
      <c r="V6">
        <f t="shared" si="4"/>
        <v>8</v>
      </c>
      <c r="W6">
        <f t="shared" si="5"/>
        <v>10</v>
      </c>
      <c r="X6">
        <f t="shared" si="6"/>
        <v>7</v>
      </c>
      <c r="Y6" t="e">
        <f>LEN(#REF!)</f>
        <v>#REF!</v>
      </c>
      <c r="Z6" t="e">
        <f>AVERAGE(#REF!)</f>
        <v>#REF!</v>
      </c>
    </row>
    <row r="7" spans="1:31" x14ac:dyDescent="0.35">
      <c r="A7" t="s">
        <v>547</v>
      </c>
      <c r="B7" t="s">
        <v>323</v>
      </c>
      <c r="C7" t="s">
        <v>512</v>
      </c>
      <c r="D7" t="s">
        <v>487</v>
      </c>
      <c r="E7" t="s">
        <v>529</v>
      </c>
      <c r="J7" s="11" t="s">
        <v>880</v>
      </c>
      <c r="K7" s="10" t="s">
        <v>878</v>
      </c>
      <c r="L7" s="10" t="s">
        <v>881</v>
      </c>
      <c r="M7" s="10" t="s">
        <v>882</v>
      </c>
      <c r="N7" s="10" t="s">
        <v>882</v>
      </c>
      <c r="O7" s="10" t="s">
        <v>882</v>
      </c>
      <c r="P7" s="10" t="s">
        <v>882</v>
      </c>
      <c r="S7" t="str">
        <f t="shared" si="1"/>
        <v>INSERT INTO Tab2_Goalkeeper VALUES ('ARGGK06', 'Emiliano', 'MARTÍNEZ', 'Goalkeeper', 'ARGENTINA');</v>
      </c>
      <c r="T7">
        <f t="shared" si="2"/>
        <v>7</v>
      </c>
      <c r="U7">
        <f t="shared" si="3"/>
        <v>8</v>
      </c>
      <c r="V7">
        <f t="shared" si="4"/>
        <v>8</v>
      </c>
      <c r="W7">
        <f t="shared" si="5"/>
        <v>10</v>
      </c>
      <c r="X7">
        <f t="shared" si="6"/>
        <v>9</v>
      </c>
      <c r="Y7" t="e">
        <f>LEN(#REF!)</f>
        <v>#REF!</v>
      </c>
    </row>
    <row r="8" spans="1:31" x14ac:dyDescent="0.35">
      <c r="A8" t="s">
        <v>548</v>
      </c>
      <c r="B8" t="s">
        <v>41</v>
      </c>
      <c r="C8" t="s">
        <v>513</v>
      </c>
      <c r="D8" t="s">
        <v>487</v>
      </c>
      <c r="E8" t="s">
        <v>530</v>
      </c>
      <c r="J8" s="11" t="s">
        <v>715</v>
      </c>
      <c r="K8" s="10" t="s">
        <v>878</v>
      </c>
      <c r="L8" s="10">
        <v>20</v>
      </c>
      <c r="M8" s="10">
        <v>20</v>
      </c>
      <c r="N8" s="10">
        <v>20</v>
      </c>
      <c r="O8" s="10">
        <v>20</v>
      </c>
      <c r="P8" s="10">
        <v>20</v>
      </c>
      <c r="S8" t="str">
        <f t="shared" si="1"/>
        <v>INSERT INTO Tab2_Goalkeeper VALUES ('BELGK07', 'Thibaut', 'COURTOIS', 'Goalkeeper', 'BELGIUM');</v>
      </c>
      <c r="T8">
        <f t="shared" si="2"/>
        <v>7</v>
      </c>
      <c r="U8">
        <f t="shared" si="3"/>
        <v>7</v>
      </c>
      <c r="V8">
        <f t="shared" si="4"/>
        <v>8</v>
      </c>
      <c r="W8">
        <f t="shared" si="5"/>
        <v>10</v>
      </c>
      <c r="X8">
        <f t="shared" si="6"/>
        <v>7</v>
      </c>
      <c r="Y8" t="e">
        <f>LEN(#REF!)</f>
        <v>#REF!</v>
      </c>
      <c r="Z8" t="s">
        <v>710</v>
      </c>
      <c r="AA8">
        <f>COUNTA(A$2:A$157)</f>
        <v>20</v>
      </c>
      <c r="AB8">
        <f>COUNTA(B$2:B$157)</f>
        <v>20</v>
      </c>
      <c r="AC8">
        <f>COUNTA(C$2:C$157)</f>
        <v>20</v>
      </c>
      <c r="AD8">
        <f>COUNTA(D$2:D$157)</f>
        <v>20</v>
      </c>
      <c r="AE8">
        <f>COUNTA(E$2:E$157)</f>
        <v>20</v>
      </c>
    </row>
    <row r="9" spans="1:31" x14ac:dyDescent="0.35">
      <c r="A9" t="s">
        <v>549</v>
      </c>
      <c r="B9" t="s">
        <v>44</v>
      </c>
      <c r="C9" t="s">
        <v>514</v>
      </c>
      <c r="D9" t="s">
        <v>487</v>
      </c>
      <c r="E9" t="s">
        <v>531</v>
      </c>
      <c r="J9" s="11" t="s">
        <v>714</v>
      </c>
      <c r="K9" s="10" t="s">
        <v>878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S9" t="str">
        <f t="shared" si="1"/>
        <v>INSERT INTO Tab2_Goalkeeper VALUES ('BRAGK08', 'Becker', 'ALISSON', 'Goalkeeper', 'BRAZIL');</v>
      </c>
      <c r="T9">
        <f t="shared" si="2"/>
        <v>7</v>
      </c>
      <c r="U9">
        <f t="shared" si="3"/>
        <v>6</v>
      </c>
      <c r="V9">
        <f t="shared" si="4"/>
        <v>7</v>
      </c>
      <c r="W9">
        <f t="shared" si="5"/>
        <v>10</v>
      </c>
      <c r="X9">
        <f t="shared" si="6"/>
        <v>6</v>
      </c>
      <c r="Y9" t="e">
        <f>LEN(#REF!)</f>
        <v>#REF!</v>
      </c>
    </row>
    <row r="10" spans="1:31" x14ac:dyDescent="0.35">
      <c r="A10" t="s">
        <v>550</v>
      </c>
      <c r="B10" t="s">
        <v>302</v>
      </c>
      <c r="C10" t="s">
        <v>515</v>
      </c>
      <c r="D10" t="s">
        <v>487</v>
      </c>
      <c r="E10" t="s">
        <v>531</v>
      </c>
      <c r="J10" s="11" t="s">
        <v>1398</v>
      </c>
      <c r="K10" s="10" t="s">
        <v>878</v>
      </c>
      <c r="L10" s="10">
        <v>0</v>
      </c>
      <c r="M10" s="10">
        <v>0</v>
      </c>
      <c r="N10" s="10">
        <v>20</v>
      </c>
      <c r="O10" s="10">
        <v>0</v>
      </c>
      <c r="P10" s="10">
        <v>20</v>
      </c>
      <c r="S10" t="str">
        <f t="shared" si="1"/>
        <v>INSERT INTO Tab2_Goalkeeper VALUES ('BRAGK09', 'Moraes', 'EDERSON', 'Goalkeeper', 'BRAZIL');</v>
      </c>
      <c r="T10">
        <f t="shared" si="2"/>
        <v>7</v>
      </c>
      <c r="U10">
        <f t="shared" si="3"/>
        <v>6</v>
      </c>
      <c r="V10">
        <f t="shared" si="4"/>
        <v>7</v>
      </c>
      <c r="W10">
        <f t="shared" si="5"/>
        <v>10</v>
      </c>
      <c r="X10">
        <f t="shared" si="6"/>
        <v>6</v>
      </c>
      <c r="Y10" t="e">
        <f>LEN(#REF!)</f>
        <v>#REF!</v>
      </c>
    </row>
    <row r="11" spans="1:31" x14ac:dyDescent="0.35">
      <c r="A11" t="s">
        <v>551</v>
      </c>
      <c r="B11" t="s">
        <v>131</v>
      </c>
      <c r="C11" t="s">
        <v>516</v>
      </c>
      <c r="D11" t="s">
        <v>487</v>
      </c>
      <c r="E11" t="s">
        <v>532</v>
      </c>
      <c r="J11" s="11" t="s">
        <v>1399</v>
      </c>
      <c r="K11" s="10" t="s">
        <v>878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S11" t="str">
        <f t="shared" si="1"/>
        <v>INSERT INTO Tab2_Goalkeeper VALUES ('CAMGK10', 'André', 'ONANA', 'Goalkeeper', 'CAMEROON');</v>
      </c>
      <c r="T11">
        <f t="shared" si="2"/>
        <v>7</v>
      </c>
      <c r="U11">
        <f t="shared" si="3"/>
        <v>5</v>
      </c>
      <c r="V11">
        <f t="shared" si="4"/>
        <v>5</v>
      </c>
      <c r="W11">
        <f t="shared" si="5"/>
        <v>10</v>
      </c>
      <c r="X11">
        <f t="shared" si="6"/>
        <v>8</v>
      </c>
      <c r="Y11" t="e">
        <f>LEN(#REF!)</f>
        <v>#REF!</v>
      </c>
    </row>
    <row r="12" spans="1:31" x14ac:dyDescent="0.35">
      <c r="A12" t="s">
        <v>552</v>
      </c>
      <c r="B12" t="s">
        <v>317</v>
      </c>
      <c r="C12" t="s">
        <v>517</v>
      </c>
      <c r="D12" t="s">
        <v>487</v>
      </c>
      <c r="E12" t="s">
        <v>533</v>
      </c>
      <c r="J12" s="11" t="s">
        <v>1400</v>
      </c>
      <c r="K12" s="10" t="s">
        <v>878</v>
      </c>
      <c r="L12" s="10">
        <v>20</v>
      </c>
      <c r="M12" s="10">
        <v>20</v>
      </c>
      <c r="N12" s="10">
        <v>20</v>
      </c>
      <c r="O12" s="10">
        <v>20</v>
      </c>
      <c r="P12" s="10">
        <v>0</v>
      </c>
      <c r="S12" t="str">
        <f t="shared" si="1"/>
        <v>INSERT INTO Tab2_Goalkeeper VALUES ('COSGK11', 'Keylor', 'NAVAS', 'Goalkeeper', 'COSTA RICA');</v>
      </c>
      <c r="T12">
        <f t="shared" si="2"/>
        <v>7</v>
      </c>
      <c r="U12">
        <f t="shared" si="3"/>
        <v>6</v>
      </c>
      <c r="V12">
        <f t="shared" si="4"/>
        <v>5</v>
      </c>
      <c r="W12">
        <f t="shared" si="5"/>
        <v>10</v>
      </c>
      <c r="X12">
        <f t="shared" si="6"/>
        <v>10</v>
      </c>
      <c r="Y12" t="e">
        <f>LEN(#REF!)</f>
        <v>#REF!</v>
      </c>
    </row>
    <row r="13" spans="1:31" x14ac:dyDescent="0.35">
      <c r="A13" t="s">
        <v>553</v>
      </c>
      <c r="B13" t="s">
        <v>248</v>
      </c>
      <c r="C13" t="s">
        <v>518</v>
      </c>
      <c r="D13" t="s">
        <v>487</v>
      </c>
      <c r="E13" t="s">
        <v>534</v>
      </c>
      <c r="J13" s="11" t="s">
        <v>1401</v>
      </c>
      <c r="K13" s="10" t="s">
        <v>878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S13" t="str">
        <f t="shared" si="1"/>
        <v>INSERT INTO Tab2_Goalkeeper VALUES ('CROGK12', 'Dominik', 'LIVAKOVIĆ', 'Goalkeeper', 'CROATIA');</v>
      </c>
      <c r="T13">
        <f t="shared" si="2"/>
        <v>7</v>
      </c>
      <c r="U13">
        <f t="shared" si="3"/>
        <v>7</v>
      </c>
      <c r="V13">
        <f t="shared" si="4"/>
        <v>9</v>
      </c>
      <c r="W13">
        <f t="shared" si="5"/>
        <v>10</v>
      </c>
      <c r="X13">
        <f t="shared" si="6"/>
        <v>7</v>
      </c>
      <c r="Y13" t="e">
        <f>LEN(#REF!)</f>
        <v>#REF!</v>
      </c>
    </row>
    <row r="14" spans="1:31" x14ac:dyDescent="0.35">
      <c r="A14" t="s">
        <v>554</v>
      </c>
      <c r="B14" t="s">
        <v>134</v>
      </c>
      <c r="C14" t="s">
        <v>519</v>
      </c>
      <c r="D14" t="s">
        <v>487</v>
      </c>
      <c r="E14" t="s">
        <v>535</v>
      </c>
      <c r="J14" s="11" t="s">
        <v>698</v>
      </c>
      <c r="K14" s="10" t="s">
        <v>878</v>
      </c>
      <c r="L14" s="10" t="s">
        <v>702</v>
      </c>
      <c r="M14" s="10" t="s">
        <v>702</v>
      </c>
      <c r="N14" s="10" t="s">
        <v>702</v>
      </c>
      <c r="O14" s="10" t="s">
        <v>702</v>
      </c>
      <c r="P14" s="10" t="s">
        <v>702</v>
      </c>
      <c r="S14" t="str">
        <f t="shared" si="1"/>
        <v>INSERT INTO Tab2_Goalkeeper VALUES ('FRAGK13', 'Hugo', 'LLORIS', 'Goalkeeper', 'FRANCE');</v>
      </c>
      <c r="T14">
        <f t="shared" si="2"/>
        <v>7</v>
      </c>
      <c r="U14">
        <f t="shared" si="3"/>
        <v>4</v>
      </c>
      <c r="V14">
        <f t="shared" si="4"/>
        <v>6</v>
      </c>
      <c r="W14">
        <f t="shared" si="5"/>
        <v>10</v>
      </c>
      <c r="X14">
        <f t="shared" si="6"/>
        <v>6</v>
      </c>
      <c r="Y14" t="e">
        <f>LEN(#REF!)</f>
        <v>#REF!</v>
      </c>
    </row>
    <row r="15" spans="1:31" x14ac:dyDescent="0.35">
      <c r="A15" t="s">
        <v>555</v>
      </c>
      <c r="B15" t="s">
        <v>129</v>
      </c>
      <c r="C15" t="s">
        <v>520</v>
      </c>
      <c r="D15" t="s">
        <v>487</v>
      </c>
      <c r="E15" t="s">
        <v>535</v>
      </c>
      <c r="J15" s="11" t="s">
        <v>716</v>
      </c>
      <c r="K15" s="10" t="s">
        <v>878</v>
      </c>
      <c r="L15" s="10"/>
      <c r="M15" s="10"/>
      <c r="N15" s="10"/>
      <c r="O15" s="10"/>
      <c r="P15" s="10"/>
      <c r="S15" t="str">
        <f t="shared" si="1"/>
        <v>INSERT INTO Tab2_Goalkeeper VALUES ('FRAGK14', 'Mike', 'MAIGNAN', 'Goalkeeper', 'FRANCE');</v>
      </c>
      <c r="T15">
        <f t="shared" si="2"/>
        <v>7</v>
      </c>
      <c r="U15">
        <f t="shared" si="3"/>
        <v>4</v>
      </c>
      <c r="V15">
        <f t="shared" si="4"/>
        <v>7</v>
      </c>
      <c r="W15">
        <f t="shared" si="5"/>
        <v>10</v>
      </c>
      <c r="X15">
        <f t="shared" si="6"/>
        <v>6</v>
      </c>
      <c r="Y15" t="e">
        <f>LEN(#REF!)</f>
        <v>#REF!</v>
      </c>
    </row>
    <row r="16" spans="1:31" x14ac:dyDescent="0.35">
      <c r="A16" t="s">
        <v>556</v>
      </c>
      <c r="B16" t="s">
        <v>306</v>
      </c>
      <c r="C16" t="s">
        <v>521</v>
      </c>
      <c r="D16" t="s">
        <v>487</v>
      </c>
      <c r="E16" t="s">
        <v>536</v>
      </c>
      <c r="J16" s="11" t="s">
        <v>717</v>
      </c>
      <c r="K16" s="10" t="s">
        <v>878</v>
      </c>
      <c r="L16" s="10"/>
      <c r="M16" s="10"/>
      <c r="N16" s="10"/>
      <c r="O16" s="10"/>
      <c r="P16" s="10"/>
      <c r="S16" t="str">
        <f t="shared" si="1"/>
        <v>INSERT INTO Tab2_Goalkeeper VALUES ('ITAGK15', 'Gianluigi', 'DONNARUMMA', 'Goalkeeper', 'ITALY');</v>
      </c>
      <c r="T16">
        <f t="shared" si="2"/>
        <v>7</v>
      </c>
      <c r="U16">
        <f t="shared" si="3"/>
        <v>9</v>
      </c>
      <c r="V16">
        <f t="shared" si="4"/>
        <v>10</v>
      </c>
      <c r="W16">
        <f t="shared" si="5"/>
        <v>10</v>
      </c>
      <c r="X16">
        <f t="shared" si="6"/>
        <v>5</v>
      </c>
      <c r="Y16" t="e">
        <f>LEN(#REF!)</f>
        <v>#REF!</v>
      </c>
    </row>
    <row r="17" spans="1:25" x14ac:dyDescent="0.35">
      <c r="A17" t="s">
        <v>557</v>
      </c>
      <c r="B17" t="s">
        <v>326</v>
      </c>
      <c r="C17" t="s">
        <v>522</v>
      </c>
      <c r="D17" t="s">
        <v>487</v>
      </c>
      <c r="E17" t="s">
        <v>537</v>
      </c>
      <c r="J17" s="11" t="s">
        <v>718</v>
      </c>
      <c r="K17" s="10" t="s">
        <v>878</v>
      </c>
      <c r="L17" s="10"/>
      <c r="M17" s="10"/>
      <c r="N17" s="10"/>
      <c r="O17" s="10"/>
      <c r="P17" s="10"/>
      <c r="S17" t="str">
        <f t="shared" si="1"/>
        <v>INSERT INTO Tab2_Goalkeeper VALUES ('MEXGK16', 'Guillermo', 'OCHOA', 'Goalkeeper', 'MEXICO');</v>
      </c>
      <c r="T17">
        <f t="shared" si="2"/>
        <v>7</v>
      </c>
      <c r="U17">
        <f t="shared" si="3"/>
        <v>9</v>
      </c>
      <c r="V17">
        <f t="shared" si="4"/>
        <v>5</v>
      </c>
      <c r="W17">
        <f t="shared" si="5"/>
        <v>10</v>
      </c>
      <c r="X17">
        <f t="shared" si="6"/>
        <v>6</v>
      </c>
      <c r="Y17" t="e">
        <f>LEN(#REF!)</f>
        <v>#REF!</v>
      </c>
    </row>
    <row r="18" spans="1:25" x14ac:dyDescent="0.35">
      <c r="A18" t="s">
        <v>558</v>
      </c>
      <c r="B18" t="s">
        <v>315</v>
      </c>
      <c r="C18" t="s">
        <v>523</v>
      </c>
      <c r="D18" t="s">
        <v>487</v>
      </c>
      <c r="E18" t="s">
        <v>538</v>
      </c>
      <c r="J18" s="11" t="s">
        <v>876</v>
      </c>
      <c r="K18" s="10" t="s">
        <v>878</v>
      </c>
      <c r="L18" s="10"/>
      <c r="M18" s="10"/>
      <c r="N18" s="10"/>
      <c r="O18" s="10"/>
      <c r="P18" s="10"/>
      <c r="S18" t="str">
        <f t="shared" si="1"/>
        <v>INSERT INTO Tab2_Goalkeeper VALUES ('POLGK17', 'Wojciech', 'SZCZĘSNY', 'Goalkeeper', 'POLAND');</v>
      </c>
      <c r="T18">
        <f t="shared" si="2"/>
        <v>7</v>
      </c>
      <c r="U18">
        <f t="shared" si="3"/>
        <v>8</v>
      </c>
      <c r="V18">
        <f t="shared" si="4"/>
        <v>8</v>
      </c>
      <c r="W18">
        <f t="shared" si="5"/>
        <v>10</v>
      </c>
      <c r="X18">
        <f t="shared" si="6"/>
        <v>6</v>
      </c>
      <c r="Y18" t="e">
        <f>LEN(#REF!)</f>
        <v>#REF!</v>
      </c>
    </row>
    <row r="19" spans="1:25" x14ac:dyDescent="0.35">
      <c r="A19" t="s">
        <v>559</v>
      </c>
      <c r="B19" t="s">
        <v>308</v>
      </c>
      <c r="C19" t="s">
        <v>524</v>
      </c>
      <c r="D19" t="s">
        <v>487</v>
      </c>
      <c r="E19" t="s">
        <v>539</v>
      </c>
      <c r="J19" s="11" t="s">
        <v>877</v>
      </c>
      <c r="K19" s="10" t="s">
        <v>878</v>
      </c>
      <c r="L19" s="10"/>
      <c r="M19" s="10"/>
      <c r="N19" s="10"/>
      <c r="O19" s="10"/>
      <c r="P19" s="10"/>
      <c r="S19" t="str">
        <f t="shared" si="1"/>
        <v>INSERT INTO Tab2_Goalkeeper VALUES ('SLOGK18', 'Jan', 'OBLAK', 'Goalkeeper', 'SLOVENIA');</v>
      </c>
      <c r="T19">
        <f t="shared" si="2"/>
        <v>7</v>
      </c>
      <c r="U19">
        <f t="shared" si="3"/>
        <v>3</v>
      </c>
      <c r="V19">
        <f t="shared" si="4"/>
        <v>5</v>
      </c>
      <c r="W19">
        <f t="shared" si="5"/>
        <v>10</v>
      </c>
      <c r="X19">
        <f t="shared" si="6"/>
        <v>8</v>
      </c>
      <c r="Y19" t="e">
        <f>LEN(#REF!)</f>
        <v>#REF!</v>
      </c>
    </row>
    <row r="20" spans="1:25" x14ac:dyDescent="0.35">
      <c r="A20" t="s">
        <v>560</v>
      </c>
      <c r="B20" t="s">
        <v>321</v>
      </c>
      <c r="C20" t="s">
        <v>525</v>
      </c>
      <c r="D20" t="s">
        <v>487</v>
      </c>
      <c r="E20" t="s">
        <v>540</v>
      </c>
      <c r="J20" s="11" t="s">
        <v>875</v>
      </c>
      <c r="K20" s="10" t="s">
        <v>878</v>
      </c>
      <c r="L20" s="10"/>
      <c r="M20" s="10"/>
      <c r="N20" s="10"/>
      <c r="O20" s="10"/>
      <c r="P20" s="10"/>
      <c r="S20" t="str">
        <f t="shared" si="1"/>
        <v>INSERT INTO Tab2_Goalkeeper VALUES ('SWIGK19', 'Yann', 'SOMMER', 'Goalkeeper', 'SWITZERLAND');</v>
      </c>
      <c r="T20">
        <f t="shared" si="2"/>
        <v>7</v>
      </c>
      <c r="U20">
        <f t="shared" si="3"/>
        <v>4</v>
      </c>
      <c r="V20">
        <f t="shared" si="4"/>
        <v>6</v>
      </c>
      <c r="W20">
        <f t="shared" si="5"/>
        <v>10</v>
      </c>
      <c r="X20">
        <f t="shared" si="6"/>
        <v>11</v>
      </c>
      <c r="Y20" t="e">
        <f>LEN(#REF!)</f>
        <v>#REF!</v>
      </c>
    </row>
    <row r="21" spans="1:25" x14ac:dyDescent="0.35">
      <c r="A21" t="s">
        <v>561</v>
      </c>
      <c r="B21" t="s">
        <v>329</v>
      </c>
      <c r="C21" t="s">
        <v>526</v>
      </c>
      <c r="D21" t="s">
        <v>487</v>
      </c>
      <c r="E21" t="s">
        <v>541</v>
      </c>
      <c r="J21" s="11" t="s">
        <v>704</v>
      </c>
      <c r="K21" s="10" t="s">
        <v>878</v>
      </c>
      <c r="L21" s="10"/>
      <c r="M21" s="10"/>
      <c r="N21" s="10"/>
      <c r="O21" s="10"/>
      <c r="P21" s="10"/>
      <c r="S21" t="str">
        <f t="shared" si="1"/>
        <v>INSERT INTO Tab2_Goalkeeper VALUES ('UKRGK20', 'Anatoliy', 'TRUBIN', 'Goalkeeper', 'UKRAINE');</v>
      </c>
      <c r="T21">
        <f t="shared" si="2"/>
        <v>7</v>
      </c>
      <c r="U21">
        <f t="shared" si="3"/>
        <v>8</v>
      </c>
      <c r="V21">
        <f t="shared" si="4"/>
        <v>6</v>
      </c>
      <c r="W21">
        <f t="shared" si="5"/>
        <v>10</v>
      </c>
      <c r="X21">
        <f t="shared" si="6"/>
        <v>7</v>
      </c>
      <c r="Y21" t="e">
        <f>LEN(#REF!)</f>
        <v>#REF!</v>
      </c>
    </row>
    <row r="22" spans="1:25" x14ac:dyDescent="0.35">
      <c r="J22" s="11" t="s">
        <v>705</v>
      </c>
      <c r="K22" s="10" t="s">
        <v>878</v>
      </c>
      <c r="L22" s="10"/>
      <c r="M22" s="10"/>
      <c r="N22" s="10"/>
      <c r="O22" s="10"/>
      <c r="P22" s="10"/>
      <c r="T22">
        <f t="shared" si="2"/>
        <v>0</v>
      </c>
      <c r="U22">
        <f t="shared" si="3"/>
        <v>0</v>
      </c>
      <c r="V22">
        <f t="shared" si="4"/>
        <v>0</v>
      </c>
      <c r="W22">
        <f t="shared" si="5"/>
        <v>0</v>
      </c>
      <c r="X22">
        <f t="shared" si="6"/>
        <v>0</v>
      </c>
      <c r="Y22" t="e">
        <f>LEN(#REF!)</f>
        <v>#REF!</v>
      </c>
    </row>
    <row r="23" spans="1:25" x14ac:dyDescent="0.35">
      <c r="J23" s="11" t="s">
        <v>708</v>
      </c>
      <c r="K23" s="10" t="s">
        <v>878</v>
      </c>
      <c r="L23" s="10"/>
      <c r="M23" s="10"/>
      <c r="N23" s="10"/>
      <c r="O23" s="10"/>
      <c r="P23" s="10"/>
      <c r="T23">
        <f t="shared" si="2"/>
        <v>0</v>
      </c>
      <c r="U23">
        <f t="shared" si="3"/>
        <v>0</v>
      </c>
      <c r="V23">
        <f t="shared" si="4"/>
        <v>0</v>
      </c>
      <c r="W23">
        <f t="shared" si="5"/>
        <v>0</v>
      </c>
      <c r="X23">
        <f t="shared" si="6"/>
        <v>0</v>
      </c>
      <c r="Y23" t="e">
        <f>LEN(#REF!)</f>
        <v>#REF!</v>
      </c>
    </row>
    <row r="24" spans="1:25" x14ac:dyDescent="0.35">
      <c r="K24" s="14" t="s">
        <v>887</v>
      </c>
      <c r="L24" t="s">
        <v>542</v>
      </c>
      <c r="M24" t="s">
        <v>67</v>
      </c>
      <c r="N24" t="s">
        <v>507</v>
      </c>
      <c r="O24" t="s">
        <v>487</v>
      </c>
      <c r="P24" t="s">
        <v>527</v>
      </c>
      <c r="T24">
        <f t="shared" si="2"/>
        <v>0</v>
      </c>
      <c r="U24">
        <f t="shared" si="3"/>
        <v>0</v>
      </c>
      <c r="V24">
        <f t="shared" si="4"/>
        <v>0</v>
      </c>
      <c r="W24">
        <f t="shared" si="5"/>
        <v>0</v>
      </c>
      <c r="X24">
        <f t="shared" si="6"/>
        <v>0</v>
      </c>
      <c r="Y24" t="e">
        <f>LEN(#REF!)</f>
        <v>#REF!</v>
      </c>
    </row>
    <row r="25" spans="1:25" x14ac:dyDescent="0.35">
      <c r="K25" s="14" t="s">
        <v>888</v>
      </c>
      <c r="L25" t="s">
        <v>543</v>
      </c>
      <c r="M25" t="s">
        <v>304</v>
      </c>
      <c r="N25" t="s">
        <v>508</v>
      </c>
      <c r="O25" t="s">
        <v>487</v>
      </c>
      <c r="P25" t="s">
        <v>527</v>
      </c>
      <c r="T25">
        <f t="shared" si="2"/>
        <v>0</v>
      </c>
      <c r="U25">
        <f t="shared" si="3"/>
        <v>0</v>
      </c>
      <c r="V25">
        <f t="shared" si="4"/>
        <v>0</v>
      </c>
      <c r="W25">
        <f t="shared" si="5"/>
        <v>0</v>
      </c>
      <c r="X25">
        <f t="shared" si="6"/>
        <v>0</v>
      </c>
      <c r="Y25" t="e">
        <f>LEN(#REF!)</f>
        <v>#REF!</v>
      </c>
    </row>
    <row r="26" spans="1:25" x14ac:dyDescent="0.35">
      <c r="K26" s="14" t="s">
        <v>889</v>
      </c>
      <c r="L26" t="s">
        <v>544</v>
      </c>
      <c r="M26" t="s">
        <v>313</v>
      </c>
      <c r="N26" t="s">
        <v>509</v>
      </c>
      <c r="O26" t="s">
        <v>487</v>
      </c>
      <c r="P26" t="s">
        <v>528</v>
      </c>
      <c r="T26">
        <f t="shared" si="2"/>
        <v>0</v>
      </c>
      <c r="U26">
        <f t="shared" si="3"/>
        <v>0</v>
      </c>
      <c r="V26">
        <f t="shared" si="4"/>
        <v>0</v>
      </c>
      <c r="W26">
        <f t="shared" si="5"/>
        <v>0</v>
      </c>
      <c r="X26">
        <f t="shared" si="6"/>
        <v>0</v>
      </c>
      <c r="Y26" t="e">
        <f>LEN(#REF!)</f>
        <v>#REF!</v>
      </c>
    </row>
    <row r="27" spans="1:25" x14ac:dyDescent="0.35">
      <c r="K27" s="14" t="s">
        <v>890</v>
      </c>
      <c r="L27" t="s">
        <v>545</v>
      </c>
      <c r="M27" t="s">
        <v>319</v>
      </c>
      <c r="N27" t="s">
        <v>510</v>
      </c>
      <c r="O27" t="s">
        <v>487</v>
      </c>
      <c r="P27" t="s">
        <v>528</v>
      </c>
      <c r="T27">
        <f t="shared" si="2"/>
        <v>0</v>
      </c>
      <c r="U27">
        <f t="shared" si="3"/>
        <v>0</v>
      </c>
      <c r="V27">
        <f t="shared" si="4"/>
        <v>0</v>
      </c>
      <c r="W27">
        <f t="shared" si="5"/>
        <v>0</v>
      </c>
      <c r="X27">
        <f t="shared" si="6"/>
        <v>0</v>
      </c>
      <c r="Y27" t="e">
        <f>LEN(#REF!)</f>
        <v>#REF!</v>
      </c>
    </row>
    <row r="28" spans="1:25" x14ac:dyDescent="0.35">
      <c r="K28" s="14" t="s">
        <v>891</v>
      </c>
      <c r="L28" t="s">
        <v>546</v>
      </c>
      <c r="M28" t="s">
        <v>311</v>
      </c>
      <c r="N28" t="s">
        <v>511</v>
      </c>
      <c r="O28" t="s">
        <v>487</v>
      </c>
      <c r="P28" t="s">
        <v>528</v>
      </c>
      <c r="T28">
        <f t="shared" si="2"/>
        <v>0</v>
      </c>
      <c r="U28">
        <f t="shared" si="3"/>
        <v>0</v>
      </c>
      <c r="V28">
        <f t="shared" si="4"/>
        <v>0</v>
      </c>
      <c r="W28">
        <f t="shared" si="5"/>
        <v>0</v>
      </c>
      <c r="X28">
        <f t="shared" si="6"/>
        <v>0</v>
      </c>
      <c r="Y28" t="e">
        <f>LEN(#REF!)</f>
        <v>#REF!</v>
      </c>
    </row>
    <row r="29" spans="1:25" x14ac:dyDescent="0.35">
      <c r="K29" s="14" t="s">
        <v>892</v>
      </c>
      <c r="L29" t="s">
        <v>547</v>
      </c>
      <c r="M29" t="s">
        <v>323</v>
      </c>
      <c r="N29" t="s">
        <v>512</v>
      </c>
      <c r="O29" t="s">
        <v>487</v>
      </c>
      <c r="P29" t="s">
        <v>529</v>
      </c>
      <c r="T29">
        <f t="shared" si="2"/>
        <v>0</v>
      </c>
      <c r="U29">
        <f t="shared" si="3"/>
        <v>0</v>
      </c>
      <c r="V29">
        <f t="shared" si="4"/>
        <v>0</v>
      </c>
      <c r="W29">
        <f t="shared" si="5"/>
        <v>0</v>
      </c>
      <c r="X29">
        <f t="shared" si="6"/>
        <v>0</v>
      </c>
      <c r="Y29" t="e">
        <f>LEN(#REF!)</f>
        <v>#REF!</v>
      </c>
    </row>
    <row r="30" spans="1:25" x14ac:dyDescent="0.35">
      <c r="K30" s="14" t="s">
        <v>893</v>
      </c>
      <c r="L30" t="s">
        <v>548</v>
      </c>
      <c r="M30" t="s">
        <v>41</v>
      </c>
      <c r="N30" t="s">
        <v>513</v>
      </c>
      <c r="O30" t="s">
        <v>487</v>
      </c>
      <c r="P30" t="s">
        <v>530</v>
      </c>
      <c r="T30">
        <f t="shared" si="2"/>
        <v>0</v>
      </c>
      <c r="U30">
        <f t="shared" si="3"/>
        <v>0</v>
      </c>
      <c r="V30">
        <f t="shared" si="4"/>
        <v>0</v>
      </c>
      <c r="W30">
        <f t="shared" si="5"/>
        <v>0</v>
      </c>
      <c r="X30">
        <f t="shared" si="6"/>
        <v>0</v>
      </c>
      <c r="Y30" t="e">
        <f>LEN(#REF!)</f>
        <v>#REF!</v>
      </c>
    </row>
    <row r="31" spans="1:25" x14ac:dyDescent="0.35">
      <c r="K31" s="14" t="s">
        <v>894</v>
      </c>
      <c r="L31" t="s">
        <v>549</v>
      </c>
      <c r="M31" t="s">
        <v>44</v>
      </c>
      <c r="N31" t="s">
        <v>514</v>
      </c>
      <c r="O31" t="s">
        <v>487</v>
      </c>
      <c r="P31" t="s">
        <v>531</v>
      </c>
      <c r="T31">
        <f t="shared" si="2"/>
        <v>0</v>
      </c>
      <c r="U31">
        <f t="shared" si="3"/>
        <v>0</v>
      </c>
      <c r="V31">
        <f t="shared" si="4"/>
        <v>0</v>
      </c>
      <c r="W31">
        <f t="shared" si="5"/>
        <v>0</v>
      </c>
      <c r="X31">
        <f t="shared" si="6"/>
        <v>0</v>
      </c>
      <c r="Y31" t="e">
        <f>LEN(#REF!)</f>
        <v>#REF!</v>
      </c>
    </row>
    <row r="32" spans="1:25" x14ac:dyDescent="0.35">
      <c r="K32" s="14" t="s">
        <v>895</v>
      </c>
      <c r="L32" t="s">
        <v>550</v>
      </c>
      <c r="M32" t="s">
        <v>302</v>
      </c>
      <c r="N32" t="s">
        <v>515</v>
      </c>
      <c r="O32" t="s">
        <v>487</v>
      </c>
      <c r="P32" t="s">
        <v>531</v>
      </c>
      <c r="T32">
        <f t="shared" si="2"/>
        <v>0</v>
      </c>
      <c r="U32">
        <f t="shared" si="3"/>
        <v>0</v>
      </c>
      <c r="V32">
        <f t="shared" si="4"/>
        <v>0</v>
      </c>
      <c r="W32">
        <f t="shared" si="5"/>
        <v>0</v>
      </c>
      <c r="X32">
        <f t="shared" si="6"/>
        <v>0</v>
      </c>
      <c r="Y32" t="e">
        <f>LEN(#REF!)</f>
        <v>#REF!</v>
      </c>
    </row>
    <row r="33" spans="11:25" x14ac:dyDescent="0.35">
      <c r="K33" s="14" t="s">
        <v>896</v>
      </c>
      <c r="L33" t="s">
        <v>551</v>
      </c>
      <c r="M33" t="s">
        <v>131</v>
      </c>
      <c r="N33" t="s">
        <v>516</v>
      </c>
      <c r="O33" t="s">
        <v>487</v>
      </c>
      <c r="P33" t="s">
        <v>532</v>
      </c>
      <c r="T33">
        <f t="shared" si="2"/>
        <v>0</v>
      </c>
      <c r="U33">
        <f t="shared" si="3"/>
        <v>0</v>
      </c>
      <c r="V33">
        <f t="shared" si="4"/>
        <v>0</v>
      </c>
      <c r="W33">
        <f t="shared" si="5"/>
        <v>0</v>
      </c>
      <c r="X33">
        <f t="shared" si="6"/>
        <v>0</v>
      </c>
      <c r="Y33" t="e">
        <f>LEN(#REF!)</f>
        <v>#REF!</v>
      </c>
    </row>
    <row r="34" spans="11:25" x14ac:dyDescent="0.35">
      <c r="K34" s="14" t="s">
        <v>897</v>
      </c>
      <c r="L34" t="s">
        <v>552</v>
      </c>
      <c r="M34" t="s">
        <v>317</v>
      </c>
      <c r="N34" t="s">
        <v>517</v>
      </c>
      <c r="O34" t="s">
        <v>487</v>
      </c>
      <c r="P34" t="s">
        <v>533</v>
      </c>
      <c r="T34">
        <f t="shared" ref="T34:T65" si="7">LEN(A34)</f>
        <v>0</v>
      </c>
      <c r="U34">
        <f t="shared" ref="U34:U65" si="8">LEN(B34)</f>
        <v>0</v>
      </c>
      <c r="V34">
        <f t="shared" ref="V34:V65" si="9">LEN(C34)</f>
        <v>0</v>
      </c>
      <c r="W34">
        <f t="shared" ref="W34:W65" si="10">LEN(D34)</f>
        <v>0</v>
      </c>
      <c r="X34">
        <f t="shared" ref="X34:X65" si="11">LEN(E34)</f>
        <v>0</v>
      </c>
      <c r="Y34" t="e">
        <f>LEN(#REF!)</f>
        <v>#REF!</v>
      </c>
    </row>
    <row r="35" spans="11:25" x14ac:dyDescent="0.35">
      <c r="K35" s="14" t="s">
        <v>898</v>
      </c>
      <c r="L35" t="s">
        <v>553</v>
      </c>
      <c r="M35" t="s">
        <v>248</v>
      </c>
      <c r="N35" t="s">
        <v>518</v>
      </c>
      <c r="O35" t="s">
        <v>487</v>
      </c>
      <c r="P35" t="s">
        <v>534</v>
      </c>
      <c r="T35">
        <f t="shared" si="7"/>
        <v>0</v>
      </c>
      <c r="U35">
        <f t="shared" si="8"/>
        <v>0</v>
      </c>
      <c r="V35">
        <f t="shared" si="9"/>
        <v>0</v>
      </c>
      <c r="W35">
        <f t="shared" si="10"/>
        <v>0</v>
      </c>
      <c r="X35">
        <f t="shared" si="11"/>
        <v>0</v>
      </c>
      <c r="Y35" t="e">
        <f>LEN(#REF!)</f>
        <v>#REF!</v>
      </c>
    </row>
    <row r="36" spans="11:25" x14ac:dyDescent="0.35">
      <c r="K36" s="14" t="s">
        <v>899</v>
      </c>
      <c r="L36" t="s">
        <v>554</v>
      </c>
      <c r="M36" t="s">
        <v>134</v>
      </c>
      <c r="N36" t="s">
        <v>519</v>
      </c>
      <c r="O36" t="s">
        <v>487</v>
      </c>
      <c r="P36" t="s">
        <v>535</v>
      </c>
      <c r="T36">
        <f t="shared" si="7"/>
        <v>0</v>
      </c>
      <c r="U36">
        <f t="shared" si="8"/>
        <v>0</v>
      </c>
      <c r="V36">
        <f t="shared" si="9"/>
        <v>0</v>
      </c>
      <c r="W36">
        <f t="shared" si="10"/>
        <v>0</v>
      </c>
      <c r="X36">
        <f t="shared" si="11"/>
        <v>0</v>
      </c>
      <c r="Y36" t="e">
        <f>LEN(#REF!)</f>
        <v>#REF!</v>
      </c>
    </row>
    <row r="37" spans="11:25" x14ac:dyDescent="0.35">
      <c r="K37" s="14" t="s">
        <v>900</v>
      </c>
      <c r="L37" t="s">
        <v>555</v>
      </c>
      <c r="M37" t="s">
        <v>129</v>
      </c>
      <c r="N37" t="s">
        <v>520</v>
      </c>
      <c r="O37" t="s">
        <v>487</v>
      </c>
      <c r="P37" t="s">
        <v>535</v>
      </c>
      <c r="T37">
        <f t="shared" si="7"/>
        <v>0</v>
      </c>
      <c r="U37">
        <f t="shared" si="8"/>
        <v>0</v>
      </c>
      <c r="V37">
        <f t="shared" si="9"/>
        <v>0</v>
      </c>
      <c r="W37">
        <f t="shared" si="10"/>
        <v>0</v>
      </c>
      <c r="X37">
        <f t="shared" si="11"/>
        <v>0</v>
      </c>
      <c r="Y37" t="e">
        <f>LEN(#REF!)</f>
        <v>#REF!</v>
      </c>
    </row>
    <row r="38" spans="11:25" x14ac:dyDescent="0.35">
      <c r="K38" s="14" t="s">
        <v>901</v>
      </c>
      <c r="L38" t="s">
        <v>556</v>
      </c>
      <c r="M38" t="s">
        <v>306</v>
      </c>
      <c r="N38" t="s">
        <v>521</v>
      </c>
      <c r="O38" t="s">
        <v>487</v>
      </c>
      <c r="P38" t="s">
        <v>536</v>
      </c>
      <c r="T38">
        <f t="shared" si="7"/>
        <v>0</v>
      </c>
      <c r="U38">
        <f t="shared" si="8"/>
        <v>0</v>
      </c>
      <c r="V38">
        <f t="shared" si="9"/>
        <v>0</v>
      </c>
      <c r="W38">
        <f t="shared" si="10"/>
        <v>0</v>
      </c>
      <c r="X38">
        <f t="shared" si="11"/>
        <v>0</v>
      </c>
      <c r="Y38" t="e">
        <f>LEN(#REF!)</f>
        <v>#REF!</v>
      </c>
    </row>
    <row r="39" spans="11:25" x14ac:dyDescent="0.35">
      <c r="K39" s="14" t="s">
        <v>902</v>
      </c>
      <c r="L39" t="s">
        <v>557</v>
      </c>
      <c r="M39" t="s">
        <v>326</v>
      </c>
      <c r="N39" t="s">
        <v>522</v>
      </c>
      <c r="O39" t="s">
        <v>487</v>
      </c>
      <c r="P39" t="s">
        <v>537</v>
      </c>
      <c r="T39">
        <f t="shared" si="7"/>
        <v>0</v>
      </c>
      <c r="U39">
        <f t="shared" si="8"/>
        <v>0</v>
      </c>
      <c r="V39">
        <f t="shared" si="9"/>
        <v>0</v>
      </c>
      <c r="W39">
        <f t="shared" si="10"/>
        <v>0</v>
      </c>
      <c r="X39">
        <f t="shared" si="11"/>
        <v>0</v>
      </c>
      <c r="Y39" t="e">
        <f>LEN(#REF!)</f>
        <v>#REF!</v>
      </c>
    </row>
    <row r="40" spans="11:25" x14ac:dyDescent="0.35">
      <c r="K40" s="14" t="s">
        <v>903</v>
      </c>
      <c r="L40" t="s">
        <v>558</v>
      </c>
      <c r="M40" t="s">
        <v>315</v>
      </c>
      <c r="N40" t="s">
        <v>523</v>
      </c>
      <c r="O40" t="s">
        <v>487</v>
      </c>
      <c r="P40" t="s">
        <v>538</v>
      </c>
      <c r="T40">
        <f t="shared" si="7"/>
        <v>0</v>
      </c>
      <c r="U40">
        <f t="shared" si="8"/>
        <v>0</v>
      </c>
      <c r="V40">
        <f t="shared" si="9"/>
        <v>0</v>
      </c>
      <c r="W40">
        <f t="shared" si="10"/>
        <v>0</v>
      </c>
      <c r="X40">
        <f t="shared" si="11"/>
        <v>0</v>
      </c>
      <c r="Y40" t="e">
        <f>LEN(#REF!)</f>
        <v>#REF!</v>
      </c>
    </row>
    <row r="41" spans="11:25" x14ac:dyDescent="0.35">
      <c r="K41" s="14" t="s">
        <v>904</v>
      </c>
      <c r="L41" t="s">
        <v>559</v>
      </c>
      <c r="M41" t="s">
        <v>308</v>
      </c>
      <c r="N41" t="s">
        <v>524</v>
      </c>
      <c r="O41" t="s">
        <v>487</v>
      </c>
      <c r="P41" t="s">
        <v>539</v>
      </c>
      <c r="T41">
        <f t="shared" si="7"/>
        <v>0</v>
      </c>
      <c r="U41">
        <f t="shared" si="8"/>
        <v>0</v>
      </c>
      <c r="V41">
        <f t="shared" si="9"/>
        <v>0</v>
      </c>
      <c r="W41">
        <f t="shared" si="10"/>
        <v>0</v>
      </c>
      <c r="X41">
        <f t="shared" si="11"/>
        <v>0</v>
      </c>
      <c r="Y41" t="e">
        <f>LEN(#REF!)</f>
        <v>#REF!</v>
      </c>
    </row>
    <row r="42" spans="11:25" x14ac:dyDescent="0.35">
      <c r="K42" s="14" t="s">
        <v>905</v>
      </c>
      <c r="L42" t="s">
        <v>560</v>
      </c>
      <c r="M42" t="s">
        <v>321</v>
      </c>
      <c r="N42" t="s">
        <v>525</v>
      </c>
      <c r="O42" t="s">
        <v>487</v>
      </c>
      <c r="P42" t="s">
        <v>540</v>
      </c>
      <c r="T42">
        <f t="shared" si="7"/>
        <v>0</v>
      </c>
      <c r="U42">
        <f t="shared" si="8"/>
        <v>0</v>
      </c>
      <c r="V42">
        <f t="shared" si="9"/>
        <v>0</v>
      </c>
      <c r="W42">
        <f t="shared" si="10"/>
        <v>0</v>
      </c>
      <c r="X42">
        <f t="shared" si="11"/>
        <v>0</v>
      </c>
      <c r="Y42" t="e">
        <f>LEN(#REF!)</f>
        <v>#REF!</v>
      </c>
    </row>
    <row r="43" spans="11:25" x14ac:dyDescent="0.35">
      <c r="K43" s="14" t="s">
        <v>906</v>
      </c>
      <c r="L43" t="s">
        <v>561</v>
      </c>
      <c r="M43" t="s">
        <v>329</v>
      </c>
      <c r="N43" t="s">
        <v>526</v>
      </c>
      <c r="O43" t="s">
        <v>487</v>
      </c>
      <c r="P43" t="s">
        <v>541</v>
      </c>
      <c r="T43">
        <f t="shared" si="7"/>
        <v>0</v>
      </c>
      <c r="U43">
        <f t="shared" si="8"/>
        <v>0</v>
      </c>
      <c r="V43">
        <f t="shared" si="9"/>
        <v>0</v>
      </c>
      <c r="W43">
        <f t="shared" si="10"/>
        <v>0</v>
      </c>
      <c r="X43">
        <f t="shared" si="11"/>
        <v>0</v>
      </c>
      <c r="Y43" t="e">
        <f>LEN(#REF!)</f>
        <v>#REF!</v>
      </c>
    </row>
    <row r="44" spans="11:25" x14ac:dyDescent="0.35">
      <c r="T44">
        <f t="shared" si="7"/>
        <v>0</v>
      </c>
      <c r="U44">
        <f t="shared" si="8"/>
        <v>0</v>
      </c>
      <c r="V44">
        <f t="shared" si="9"/>
        <v>0</v>
      </c>
      <c r="W44">
        <f t="shared" si="10"/>
        <v>0</v>
      </c>
      <c r="X44">
        <f t="shared" si="11"/>
        <v>0</v>
      </c>
      <c r="Y44" t="e">
        <f>LEN(#REF!)</f>
        <v>#REF!</v>
      </c>
    </row>
    <row r="45" spans="11:25" x14ac:dyDescent="0.35">
      <c r="T45">
        <f t="shared" si="7"/>
        <v>0</v>
      </c>
      <c r="U45">
        <f t="shared" si="8"/>
        <v>0</v>
      </c>
      <c r="V45">
        <f t="shared" si="9"/>
        <v>0</v>
      </c>
      <c r="W45">
        <f t="shared" si="10"/>
        <v>0</v>
      </c>
      <c r="X45">
        <f t="shared" si="11"/>
        <v>0</v>
      </c>
      <c r="Y45" t="e">
        <f>LEN(#REF!)</f>
        <v>#REF!</v>
      </c>
    </row>
    <row r="46" spans="11:25" x14ac:dyDescent="0.35">
      <c r="T46">
        <f t="shared" si="7"/>
        <v>0</v>
      </c>
      <c r="U46">
        <f t="shared" si="8"/>
        <v>0</v>
      </c>
      <c r="V46">
        <f t="shared" si="9"/>
        <v>0</v>
      </c>
      <c r="W46">
        <f t="shared" si="10"/>
        <v>0</v>
      </c>
      <c r="X46">
        <f t="shared" si="11"/>
        <v>0</v>
      </c>
      <c r="Y46" t="e">
        <f>LEN(#REF!)</f>
        <v>#REF!</v>
      </c>
    </row>
    <row r="47" spans="11:25" x14ac:dyDescent="0.35">
      <c r="T47">
        <f t="shared" si="7"/>
        <v>0</v>
      </c>
      <c r="U47">
        <f t="shared" si="8"/>
        <v>0</v>
      </c>
      <c r="V47">
        <f t="shared" si="9"/>
        <v>0</v>
      </c>
      <c r="W47">
        <f t="shared" si="10"/>
        <v>0</v>
      </c>
      <c r="X47">
        <f t="shared" si="11"/>
        <v>0</v>
      </c>
      <c r="Y47" t="e">
        <f>LEN(#REF!)</f>
        <v>#REF!</v>
      </c>
    </row>
    <row r="48" spans="11:25" x14ac:dyDescent="0.35">
      <c r="T48">
        <f t="shared" si="7"/>
        <v>0</v>
      </c>
      <c r="U48">
        <f t="shared" si="8"/>
        <v>0</v>
      </c>
      <c r="V48">
        <f t="shared" si="9"/>
        <v>0</v>
      </c>
      <c r="W48">
        <f t="shared" si="10"/>
        <v>0</v>
      </c>
      <c r="X48">
        <f t="shared" si="11"/>
        <v>0</v>
      </c>
      <c r="Y48" t="e">
        <f>LEN(#REF!)</f>
        <v>#REF!</v>
      </c>
    </row>
    <row r="49" spans="20:25" x14ac:dyDescent="0.35">
      <c r="T49">
        <f t="shared" si="7"/>
        <v>0</v>
      </c>
      <c r="U49">
        <f t="shared" si="8"/>
        <v>0</v>
      </c>
      <c r="V49">
        <f t="shared" si="9"/>
        <v>0</v>
      </c>
      <c r="W49">
        <f t="shared" si="10"/>
        <v>0</v>
      </c>
      <c r="X49">
        <f t="shared" si="11"/>
        <v>0</v>
      </c>
      <c r="Y49" t="e">
        <f>LEN(#REF!)</f>
        <v>#REF!</v>
      </c>
    </row>
    <row r="50" spans="20:25" x14ac:dyDescent="0.35">
      <c r="T50">
        <f t="shared" si="7"/>
        <v>0</v>
      </c>
      <c r="U50">
        <f t="shared" si="8"/>
        <v>0</v>
      </c>
      <c r="V50">
        <f t="shared" si="9"/>
        <v>0</v>
      </c>
      <c r="W50">
        <f t="shared" si="10"/>
        <v>0</v>
      </c>
      <c r="X50">
        <f t="shared" si="11"/>
        <v>0</v>
      </c>
      <c r="Y50" t="e">
        <f>LEN(#REF!)</f>
        <v>#REF!</v>
      </c>
    </row>
    <row r="51" spans="20:25" x14ac:dyDescent="0.35">
      <c r="T51">
        <f t="shared" si="7"/>
        <v>0</v>
      </c>
      <c r="U51">
        <f t="shared" si="8"/>
        <v>0</v>
      </c>
      <c r="V51">
        <f t="shared" si="9"/>
        <v>0</v>
      </c>
      <c r="W51">
        <f t="shared" si="10"/>
        <v>0</v>
      </c>
      <c r="X51">
        <f t="shared" si="11"/>
        <v>0</v>
      </c>
      <c r="Y51" t="e">
        <f>LEN(#REF!)</f>
        <v>#REF!</v>
      </c>
    </row>
    <row r="52" spans="20:25" x14ac:dyDescent="0.35">
      <c r="T52">
        <f t="shared" si="7"/>
        <v>0</v>
      </c>
      <c r="U52">
        <f t="shared" si="8"/>
        <v>0</v>
      </c>
      <c r="V52">
        <f t="shared" si="9"/>
        <v>0</v>
      </c>
      <c r="W52">
        <f t="shared" si="10"/>
        <v>0</v>
      </c>
      <c r="X52">
        <f t="shared" si="11"/>
        <v>0</v>
      </c>
      <c r="Y52" t="e">
        <f>LEN(#REF!)</f>
        <v>#REF!</v>
      </c>
    </row>
    <row r="53" spans="20:25" x14ac:dyDescent="0.35">
      <c r="T53">
        <f t="shared" si="7"/>
        <v>0</v>
      </c>
      <c r="U53">
        <f t="shared" si="8"/>
        <v>0</v>
      </c>
      <c r="V53">
        <f t="shared" si="9"/>
        <v>0</v>
      </c>
      <c r="W53">
        <f t="shared" si="10"/>
        <v>0</v>
      </c>
      <c r="X53">
        <f t="shared" si="11"/>
        <v>0</v>
      </c>
      <c r="Y53" t="e">
        <f>LEN(#REF!)</f>
        <v>#REF!</v>
      </c>
    </row>
    <row r="54" spans="20:25" x14ac:dyDescent="0.35">
      <c r="T54">
        <f t="shared" si="7"/>
        <v>0</v>
      </c>
      <c r="U54">
        <f t="shared" si="8"/>
        <v>0</v>
      </c>
      <c r="V54">
        <f t="shared" si="9"/>
        <v>0</v>
      </c>
      <c r="W54">
        <f t="shared" si="10"/>
        <v>0</v>
      </c>
      <c r="X54">
        <f t="shared" si="11"/>
        <v>0</v>
      </c>
      <c r="Y54" t="e">
        <f>LEN(#REF!)</f>
        <v>#REF!</v>
      </c>
    </row>
    <row r="55" spans="20:25" x14ac:dyDescent="0.35">
      <c r="T55">
        <f t="shared" si="7"/>
        <v>0</v>
      </c>
      <c r="U55">
        <f t="shared" si="8"/>
        <v>0</v>
      </c>
      <c r="V55">
        <f t="shared" si="9"/>
        <v>0</v>
      </c>
      <c r="W55">
        <f t="shared" si="10"/>
        <v>0</v>
      </c>
      <c r="X55">
        <f t="shared" si="11"/>
        <v>0</v>
      </c>
      <c r="Y55" t="e">
        <f>LEN(#REF!)</f>
        <v>#REF!</v>
      </c>
    </row>
    <row r="56" spans="20:25" x14ac:dyDescent="0.35">
      <c r="T56">
        <f t="shared" si="7"/>
        <v>0</v>
      </c>
      <c r="U56">
        <f t="shared" si="8"/>
        <v>0</v>
      </c>
      <c r="V56">
        <f t="shared" si="9"/>
        <v>0</v>
      </c>
      <c r="W56">
        <f t="shared" si="10"/>
        <v>0</v>
      </c>
      <c r="X56">
        <f t="shared" si="11"/>
        <v>0</v>
      </c>
      <c r="Y56" t="e">
        <f>LEN(#REF!)</f>
        <v>#REF!</v>
      </c>
    </row>
    <row r="57" spans="20:25" x14ac:dyDescent="0.35">
      <c r="T57">
        <f t="shared" si="7"/>
        <v>0</v>
      </c>
      <c r="U57">
        <f t="shared" si="8"/>
        <v>0</v>
      </c>
      <c r="V57">
        <f t="shared" si="9"/>
        <v>0</v>
      </c>
      <c r="W57">
        <f t="shared" si="10"/>
        <v>0</v>
      </c>
      <c r="X57">
        <f t="shared" si="11"/>
        <v>0</v>
      </c>
      <c r="Y57" t="e">
        <f>LEN(#REF!)</f>
        <v>#REF!</v>
      </c>
    </row>
    <row r="58" spans="20:25" x14ac:dyDescent="0.35">
      <c r="T58">
        <f t="shared" si="7"/>
        <v>0</v>
      </c>
      <c r="U58">
        <f t="shared" si="8"/>
        <v>0</v>
      </c>
      <c r="V58">
        <f t="shared" si="9"/>
        <v>0</v>
      </c>
      <c r="W58">
        <f t="shared" si="10"/>
        <v>0</v>
      </c>
      <c r="X58">
        <f t="shared" si="11"/>
        <v>0</v>
      </c>
      <c r="Y58" t="e">
        <f>LEN(#REF!)</f>
        <v>#REF!</v>
      </c>
    </row>
    <row r="59" spans="20:25" x14ac:dyDescent="0.35">
      <c r="T59">
        <f t="shared" si="7"/>
        <v>0</v>
      </c>
      <c r="U59">
        <f t="shared" si="8"/>
        <v>0</v>
      </c>
      <c r="V59">
        <f t="shared" si="9"/>
        <v>0</v>
      </c>
      <c r="W59">
        <f t="shared" si="10"/>
        <v>0</v>
      </c>
      <c r="X59">
        <f t="shared" si="11"/>
        <v>0</v>
      </c>
      <c r="Y59" t="e">
        <f>LEN(#REF!)</f>
        <v>#REF!</v>
      </c>
    </row>
    <row r="60" spans="20:25" x14ac:dyDescent="0.35">
      <c r="T60">
        <f t="shared" si="7"/>
        <v>0</v>
      </c>
      <c r="U60">
        <f t="shared" si="8"/>
        <v>0</v>
      </c>
      <c r="V60">
        <f t="shared" si="9"/>
        <v>0</v>
      </c>
      <c r="W60">
        <f t="shared" si="10"/>
        <v>0</v>
      </c>
      <c r="X60">
        <f t="shared" si="11"/>
        <v>0</v>
      </c>
      <c r="Y60" t="e">
        <f>LEN(#REF!)</f>
        <v>#REF!</v>
      </c>
    </row>
    <row r="61" spans="20:25" x14ac:dyDescent="0.35">
      <c r="T61">
        <f t="shared" si="7"/>
        <v>0</v>
      </c>
      <c r="U61">
        <f t="shared" si="8"/>
        <v>0</v>
      </c>
      <c r="V61">
        <f t="shared" si="9"/>
        <v>0</v>
      </c>
      <c r="W61">
        <f t="shared" si="10"/>
        <v>0</v>
      </c>
      <c r="X61">
        <f t="shared" si="11"/>
        <v>0</v>
      </c>
      <c r="Y61" t="e">
        <f>LEN(#REF!)</f>
        <v>#REF!</v>
      </c>
    </row>
    <row r="62" spans="20:25" x14ac:dyDescent="0.35">
      <c r="T62">
        <f t="shared" si="7"/>
        <v>0</v>
      </c>
      <c r="U62">
        <f t="shared" si="8"/>
        <v>0</v>
      </c>
      <c r="V62">
        <f t="shared" si="9"/>
        <v>0</v>
      </c>
      <c r="W62">
        <f t="shared" si="10"/>
        <v>0</v>
      </c>
      <c r="X62">
        <f t="shared" si="11"/>
        <v>0</v>
      </c>
      <c r="Y62" t="e">
        <f>LEN(#REF!)</f>
        <v>#REF!</v>
      </c>
    </row>
    <row r="63" spans="20:25" x14ac:dyDescent="0.35">
      <c r="T63">
        <f t="shared" si="7"/>
        <v>0</v>
      </c>
      <c r="U63">
        <f t="shared" si="8"/>
        <v>0</v>
      </c>
      <c r="V63">
        <f t="shared" si="9"/>
        <v>0</v>
      </c>
      <c r="W63">
        <f t="shared" si="10"/>
        <v>0</v>
      </c>
      <c r="X63">
        <f t="shared" si="11"/>
        <v>0</v>
      </c>
      <c r="Y63" t="e">
        <f>LEN(#REF!)</f>
        <v>#REF!</v>
      </c>
    </row>
    <row r="64" spans="20:25" x14ac:dyDescent="0.35">
      <c r="T64">
        <f t="shared" si="7"/>
        <v>0</v>
      </c>
      <c r="U64">
        <f t="shared" si="8"/>
        <v>0</v>
      </c>
      <c r="V64">
        <f t="shared" si="9"/>
        <v>0</v>
      </c>
      <c r="W64">
        <f t="shared" si="10"/>
        <v>0</v>
      </c>
      <c r="X64">
        <f t="shared" si="11"/>
        <v>0</v>
      </c>
      <c r="Y64" t="e">
        <f>LEN(#REF!)</f>
        <v>#REF!</v>
      </c>
    </row>
    <row r="65" spans="20:25" x14ac:dyDescent="0.35">
      <c r="T65">
        <f t="shared" si="7"/>
        <v>0</v>
      </c>
      <c r="U65">
        <f t="shared" si="8"/>
        <v>0</v>
      </c>
      <c r="V65">
        <f t="shared" si="9"/>
        <v>0</v>
      </c>
      <c r="W65">
        <f t="shared" si="10"/>
        <v>0</v>
      </c>
      <c r="X65">
        <f t="shared" si="11"/>
        <v>0</v>
      </c>
      <c r="Y65" t="e">
        <f>LEN(#REF!)</f>
        <v>#REF!</v>
      </c>
    </row>
    <row r="66" spans="20:25" x14ac:dyDescent="0.35">
      <c r="T66">
        <f t="shared" ref="T66:T97" si="12">LEN(A66)</f>
        <v>0</v>
      </c>
      <c r="U66">
        <f t="shared" ref="U66:U97" si="13">LEN(B66)</f>
        <v>0</v>
      </c>
      <c r="V66">
        <f t="shared" ref="V66:V97" si="14">LEN(C66)</f>
        <v>0</v>
      </c>
      <c r="W66">
        <f t="shared" ref="W66:W97" si="15">LEN(D66)</f>
        <v>0</v>
      </c>
      <c r="X66">
        <f t="shared" ref="X66:X97" si="16">LEN(E66)</f>
        <v>0</v>
      </c>
      <c r="Y66" t="e">
        <f>LEN(#REF!)</f>
        <v>#REF!</v>
      </c>
    </row>
    <row r="67" spans="20:25" x14ac:dyDescent="0.35">
      <c r="T67">
        <f t="shared" si="12"/>
        <v>0</v>
      </c>
      <c r="U67">
        <f t="shared" si="13"/>
        <v>0</v>
      </c>
      <c r="V67">
        <f t="shared" si="14"/>
        <v>0</v>
      </c>
      <c r="W67">
        <f t="shared" si="15"/>
        <v>0</v>
      </c>
      <c r="X67">
        <f t="shared" si="16"/>
        <v>0</v>
      </c>
      <c r="Y67" t="e">
        <f>LEN(#REF!)</f>
        <v>#REF!</v>
      </c>
    </row>
    <row r="68" spans="20:25" x14ac:dyDescent="0.35">
      <c r="T68">
        <f t="shared" si="12"/>
        <v>0</v>
      </c>
      <c r="U68">
        <f t="shared" si="13"/>
        <v>0</v>
      </c>
      <c r="V68">
        <f t="shared" si="14"/>
        <v>0</v>
      </c>
      <c r="W68">
        <f t="shared" si="15"/>
        <v>0</v>
      </c>
      <c r="X68">
        <f t="shared" si="16"/>
        <v>0</v>
      </c>
      <c r="Y68" t="e">
        <f>LEN(#REF!)</f>
        <v>#REF!</v>
      </c>
    </row>
    <row r="69" spans="20:25" x14ac:dyDescent="0.35">
      <c r="T69">
        <f t="shared" si="12"/>
        <v>0</v>
      </c>
      <c r="U69">
        <f t="shared" si="13"/>
        <v>0</v>
      </c>
      <c r="V69">
        <f t="shared" si="14"/>
        <v>0</v>
      </c>
      <c r="W69">
        <f t="shared" si="15"/>
        <v>0</v>
      </c>
      <c r="X69">
        <f t="shared" si="16"/>
        <v>0</v>
      </c>
      <c r="Y69" t="e">
        <f>LEN(#REF!)</f>
        <v>#REF!</v>
      </c>
    </row>
    <row r="70" spans="20:25" x14ac:dyDescent="0.35">
      <c r="T70">
        <f t="shared" si="12"/>
        <v>0</v>
      </c>
      <c r="U70">
        <f t="shared" si="13"/>
        <v>0</v>
      </c>
      <c r="V70">
        <f t="shared" si="14"/>
        <v>0</v>
      </c>
      <c r="W70">
        <f t="shared" si="15"/>
        <v>0</v>
      </c>
      <c r="X70">
        <f t="shared" si="16"/>
        <v>0</v>
      </c>
      <c r="Y70" t="e">
        <f>LEN(#REF!)</f>
        <v>#REF!</v>
      </c>
    </row>
    <row r="71" spans="20:25" x14ac:dyDescent="0.35">
      <c r="T71">
        <f t="shared" si="12"/>
        <v>0</v>
      </c>
      <c r="U71">
        <f t="shared" si="13"/>
        <v>0</v>
      </c>
      <c r="V71">
        <f t="shared" si="14"/>
        <v>0</v>
      </c>
      <c r="W71">
        <f t="shared" si="15"/>
        <v>0</v>
      </c>
      <c r="X71">
        <f t="shared" si="16"/>
        <v>0</v>
      </c>
      <c r="Y71" t="e">
        <f>LEN(#REF!)</f>
        <v>#REF!</v>
      </c>
    </row>
    <row r="72" spans="20:25" x14ac:dyDescent="0.35">
      <c r="T72">
        <f t="shared" si="12"/>
        <v>0</v>
      </c>
      <c r="U72">
        <f t="shared" si="13"/>
        <v>0</v>
      </c>
      <c r="V72">
        <f t="shared" si="14"/>
        <v>0</v>
      </c>
      <c r="W72">
        <f t="shared" si="15"/>
        <v>0</v>
      </c>
      <c r="X72">
        <f t="shared" si="16"/>
        <v>0</v>
      </c>
      <c r="Y72" t="e">
        <f>LEN(#REF!)</f>
        <v>#REF!</v>
      </c>
    </row>
    <row r="73" spans="20:25" x14ac:dyDescent="0.35">
      <c r="T73">
        <f t="shared" si="12"/>
        <v>0</v>
      </c>
      <c r="U73">
        <f t="shared" si="13"/>
        <v>0</v>
      </c>
      <c r="V73">
        <f t="shared" si="14"/>
        <v>0</v>
      </c>
      <c r="W73">
        <f t="shared" si="15"/>
        <v>0</v>
      </c>
      <c r="X73">
        <f t="shared" si="16"/>
        <v>0</v>
      </c>
      <c r="Y73" t="e">
        <f>LEN(#REF!)</f>
        <v>#REF!</v>
      </c>
    </row>
    <row r="74" spans="20:25" x14ac:dyDescent="0.35">
      <c r="T74">
        <f t="shared" si="12"/>
        <v>0</v>
      </c>
      <c r="U74">
        <f t="shared" si="13"/>
        <v>0</v>
      </c>
      <c r="V74">
        <f t="shared" si="14"/>
        <v>0</v>
      </c>
      <c r="W74">
        <f t="shared" si="15"/>
        <v>0</v>
      </c>
      <c r="X74">
        <f t="shared" si="16"/>
        <v>0</v>
      </c>
      <c r="Y74" t="e">
        <f>LEN(#REF!)</f>
        <v>#REF!</v>
      </c>
    </row>
    <row r="75" spans="20:25" x14ac:dyDescent="0.35">
      <c r="T75">
        <f t="shared" si="12"/>
        <v>0</v>
      </c>
      <c r="U75">
        <f t="shared" si="13"/>
        <v>0</v>
      </c>
      <c r="V75">
        <f t="shared" si="14"/>
        <v>0</v>
      </c>
      <c r="W75">
        <f t="shared" si="15"/>
        <v>0</v>
      </c>
      <c r="X75">
        <f t="shared" si="16"/>
        <v>0</v>
      </c>
      <c r="Y75" t="e">
        <f>LEN(#REF!)</f>
        <v>#REF!</v>
      </c>
    </row>
    <row r="76" spans="20:25" x14ac:dyDescent="0.35">
      <c r="T76">
        <f t="shared" si="12"/>
        <v>0</v>
      </c>
      <c r="U76">
        <f t="shared" si="13"/>
        <v>0</v>
      </c>
      <c r="V76">
        <f t="shared" si="14"/>
        <v>0</v>
      </c>
      <c r="W76">
        <f t="shared" si="15"/>
        <v>0</v>
      </c>
      <c r="X76">
        <f t="shared" si="16"/>
        <v>0</v>
      </c>
      <c r="Y76" t="e">
        <f>LEN(#REF!)</f>
        <v>#REF!</v>
      </c>
    </row>
    <row r="77" spans="20:25" x14ac:dyDescent="0.35">
      <c r="T77">
        <f t="shared" si="12"/>
        <v>0</v>
      </c>
      <c r="U77">
        <f t="shared" si="13"/>
        <v>0</v>
      </c>
      <c r="V77">
        <f t="shared" si="14"/>
        <v>0</v>
      </c>
      <c r="W77">
        <f t="shared" si="15"/>
        <v>0</v>
      </c>
      <c r="X77">
        <f t="shared" si="16"/>
        <v>0</v>
      </c>
      <c r="Y77" t="e">
        <f>LEN(#REF!)</f>
        <v>#REF!</v>
      </c>
    </row>
    <row r="78" spans="20:25" x14ac:dyDescent="0.35">
      <c r="T78">
        <f t="shared" si="12"/>
        <v>0</v>
      </c>
      <c r="U78">
        <f t="shared" si="13"/>
        <v>0</v>
      </c>
      <c r="V78">
        <f t="shared" si="14"/>
        <v>0</v>
      </c>
      <c r="W78">
        <f t="shared" si="15"/>
        <v>0</v>
      </c>
      <c r="X78">
        <f t="shared" si="16"/>
        <v>0</v>
      </c>
      <c r="Y78" t="e">
        <f>LEN(#REF!)</f>
        <v>#REF!</v>
      </c>
    </row>
    <row r="79" spans="20:25" x14ac:dyDescent="0.35">
      <c r="T79">
        <f t="shared" si="12"/>
        <v>0</v>
      </c>
      <c r="U79">
        <f t="shared" si="13"/>
        <v>0</v>
      </c>
      <c r="V79">
        <f t="shared" si="14"/>
        <v>0</v>
      </c>
      <c r="W79">
        <f t="shared" si="15"/>
        <v>0</v>
      </c>
      <c r="X79">
        <f t="shared" si="16"/>
        <v>0</v>
      </c>
      <c r="Y79" t="e">
        <f>LEN(#REF!)</f>
        <v>#REF!</v>
      </c>
    </row>
    <row r="80" spans="20:25" x14ac:dyDescent="0.35">
      <c r="T80">
        <f t="shared" si="12"/>
        <v>0</v>
      </c>
      <c r="U80">
        <f t="shared" si="13"/>
        <v>0</v>
      </c>
      <c r="V80">
        <f t="shared" si="14"/>
        <v>0</v>
      </c>
      <c r="W80">
        <f t="shared" si="15"/>
        <v>0</v>
      </c>
      <c r="X80">
        <f t="shared" si="16"/>
        <v>0</v>
      </c>
      <c r="Y80" t="e">
        <f>LEN(#REF!)</f>
        <v>#REF!</v>
      </c>
    </row>
    <row r="81" spans="20:25" x14ac:dyDescent="0.35">
      <c r="T81">
        <f t="shared" si="12"/>
        <v>0</v>
      </c>
      <c r="U81">
        <f t="shared" si="13"/>
        <v>0</v>
      </c>
      <c r="V81">
        <f t="shared" si="14"/>
        <v>0</v>
      </c>
      <c r="W81">
        <f t="shared" si="15"/>
        <v>0</v>
      </c>
      <c r="X81">
        <f t="shared" si="16"/>
        <v>0</v>
      </c>
      <c r="Y81" t="e">
        <f>LEN(#REF!)</f>
        <v>#REF!</v>
      </c>
    </row>
    <row r="82" spans="20:25" x14ac:dyDescent="0.35">
      <c r="T82">
        <f t="shared" si="12"/>
        <v>0</v>
      </c>
      <c r="U82">
        <f t="shared" si="13"/>
        <v>0</v>
      </c>
      <c r="V82">
        <f t="shared" si="14"/>
        <v>0</v>
      </c>
      <c r="W82">
        <f t="shared" si="15"/>
        <v>0</v>
      </c>
      <c r="X82">
        <f t="shared" si="16"/>
        <v>0</v>
      </c>
      <c r="Y82" t="e">
        <f>LEN(#REF!)</f>
        <v>#REF!</v>
      </c>
    </row>
    <row r="83" spans="20:25" x14ac:dyDescent="0.35">
      <c r="T83">
        <f t="shared" si="12"/>
        <v>0</v>
      </c>
      <c r="U83">
        <f t="shared" si="13"/>
        <v>0</v>
      </c>
      <c r="V83">
        <f t="shared" si="14"/>
        <v>0</v>
      </c>
      <c r="W83">
        <f t="shared" si="15"/>
        <v>0</v>
      </c>
      <c r="X83">
        <f t="shared" si="16"/>
        <v>0</v>
      </c>
      <c r="Y83" t="e">
        <f>LEN(#REF!)</f>
        <v>#REF!</v>
      </c>
    </row>
    <row r="84" spans="20:25" x14ac:dyDescent="0.35">
      <c r="T84">
        <f t="shared" si="12"/>
        <v>0</v>
      </c>
      <c r="U84">
        <f t="shared" si="13"/>
        <v>0</v>
      </c>
      <c r="V84">
        <f t="shared" si="14"/>
        <v>0</v>
      </c>
      <c r="W84">
        <f t="shared" si="15"/>
        <v>0</v>
      </c>
      <c r="X84">
        <f t="shared" si="16"/>
        <v>0</v>
      </c>
      <c r="Y84" t="e">
        <f>LEN(#REF!)</f>
        <v>#REF!</v>
      </c>
    </row>
    <row r="85" spans="20:25" x14ac:dyDescent="0.35">
      <c r="T85">
        <f t="shared" si="12"/>
        <v>0</v>
      </c>
      <c r="U85">
        <f t="shared" si="13"/>
        <v>0</v>
      </c>
      <c r="V85">
        <f t="shared" si="14"/>
        <v>0</v>
      </c>
      <c r="W85">
        <f t="shared" si="15"/>
        <v>0</v>
      </c>
      <c r="X85">
        <f t="shared" si="16"/>
        <v>0</v>
      </c>
      <c r="Y85" t="e">
        <f>LEN(#REF!)</f>
        <v>#REF!</v>
      </c>
    </row>
    <row r="86" spans="20:25" x14ac:dyDescent="0.35">
      <c r="T86">
        <f t="shared" si="12"/>
        <v>0</v>
      </c>
      <c r="U86">
        <f t="shared" si="13"/>
        <v>0</v>
      </c>
      <c r="V86">
        <f t="shared" si="14"/>
        <v>0</v>
      </c>
      <c r="W86">
        <f t="shared" si="15"/>
        <v>0</v>
      </c>
      <c r="X86">
        <f t="shared" si="16"/>
        <v>0</v>
      </c>
      <c r="Y86" t="e">
        <f>LEN(#REF!)</f>
        <v>#REF!</v>
      </c>
    </row>
    <row r="87" spans="20:25" x14ac:dyDescent="0.35">
      <c r="T87">
        <f t="shared" si="12"/>
        <v>0</v>
      </c>
      <c r="U87">
        <f t="shared" si="13"/>
        <v>0</v>
      </c>
      <c r="V87">
        <f t="shared" si="14"/>
        <v>0</v>
      </c>
      <c r="W87">
        <f t="shared" si="15"/>
        <v>0</v>
      </c>
      <c r="X87">
        <f t="shared" si="16"/>
        <v>0</v>
      </c>
      <c r="Y87" t="e">
        <f>LEN(#REF!)</f>
        <v>#REF!</v>
      </c>
    </row>
    <row r="88" spans="20:25" x14ac:dyDescent="0.35">
      <c r="T88">
        <f t="shared" si="12"/>
        <v>0</v>
      </c>
      <c r="U88">
        <f t="shared" si="13"/>
        <v>0</v>
      </c>
      <c r="V88">
        <f t="shared" si="14"/>
        <v>0</v>
      </c>
      <c r="W88">
        <f t="shared" si="15"/>
        <v>0</v>
      </c>
      <c r="X88">
        <f t="shared" si="16"/>
        <v>0</v>
      </c>
      <c r="Y88" t="e">
        <f>LEN(#REF!)</f>
        <v>#REF!</v>
      </c>
    </row>
    <row r="89" spans="20:25" x14ac:dyDescent="0.35">
      <c r="T89">
        <f t="shared" si="12"/>
        <v>0</v>
      </c>
      <c r="U89">
        <f t="shared" si="13"/>
        <v>0</v>
      </c>
      <c r="V89">
        <f t="shared" si="14"/>
        <v>0</v>
      </c>
      <c r="W89">
        <f t="shared" si="15"/>
        <v>0</v>
      </c>
      <c r="X89">
        <f t="shared" si="16"/>
        <v>0</v>
      </c>
      <c r="Y89" t="e">
        <f>LEN(#REF!)</f>
        <v>#REF!</v>
      </c>
    </row>
    <row r="90" spans="20:25" x14ac:dyDescent="0.35">
      <c r="T90">
        <f t="shared" si="12"/>
        <v>0</v>
      </c>
      <c r="U90">
        <f t="shared" si="13"/>
        <v>0</v>
      </c>
      <c r="V90">
        <f t="shared" si="14"/>
        <v>0</v>
      </c>
      <c r="W90">
        <f t="shared" si="15"/>
        <v>0</v>
      </c>
      <c r="X90">
        <f t="shared" si="16"/>
        <v>0</v>
      </c>
      <c r="Y90" t="e">
        <f>LEN(#REF!)</f>
        <v>#REF!</v>
      </c>
    </row>
    <row r="91" spans="20:25" x14ac:dyDescent="0.35">
      <c r="T91">
        <f t="shared" si="12"/>
        <v>0</v>
      </c>
      <c r="U91">
        <f t="shared" si="13"/>
        <v>0</v>
      </c>
      <c r="V91">
        <f t="shared" si="14"/>
        <v>0</v>
      </c>
      <c r="W91">
        <f t="shared" si="15"/>
        <v>0</v>
      </c>
      <c r="X91">
        <f t="shared" si="16"/>
        <v>0</v>
      </c>
      <c r="Y91" t="e">
        <f>LEN(#REF!)</f>
        <v>#REF!</v>
      </c>
    </row>
    <row r="92" spans="20:25" x14ac:dyDescent="0.35">
      <c r="T92">
        <f t="shared" si="12"/>
        <v>0</v>
      </c>
      <c r="U92">
        <f t="shared" si="13"/>
        <v>0</v>
      </c>
      <c r="V92">
        <f t="shared" si="14"/>
        <v>0</v>
      </c>
      <c r="W92">
        <f t="shared" si="15"/>
        <v>0</v>
      </c>
      <c r="X92">
        <f t="shared" si="16"/>
        <v>0</v>
      </c>
      <c r="Y92" t="e">
        <f>LEN(#REF!)</f>
        <v>#REF!</v>
      </c>
    </row>
    <row r="93" spans="20:25" x14ac:dyDescent="0.35">
      <c r="T93">
        <f t="shared" si="12"/>
        <v>0</v>
      </c>
      <c r="U93">
        <f t="shared" si="13"/>
        <v>0</v>
      </c>
      <c r="V93">
        <f t="shared" si="14"/>
        <v>0</v>
      </c>
      <c r="W93">
        <f t="shared" si="15"/>
        <v>0</v>
      </c>
      <c r="X93">
        <f t="shared" si="16"/>
        <v>0</v>
      </c>
      <c r="Y93" t="e">
        <f>LEN(#REF!)</f>
        <v>#REF!</v>
      </c>
    </row>
    <row r="94" spans="20:25" x14ac:dyDescent="0.35">
      <c r="T94">
        <f t="shared" si="12"/>
        <v>0</v>
      </c>
      <c r="U94">
        <f t="shared" si="13"/>
        <v>0</v>
      </c>
      <c r="V94">
        <f t="shared" si="14"/>
        <v>0</v>
      </c>
      <c r="W94">
        <f t="shared" si="15"/>
        <v>0</v>
      </c>
      <c r="X94">
        <f t="shared" si="16"/>
        <v>0</v>
      </c>
      <c r="Y94" t="e">
        <f>LEN(#REF!)</f>
        <v>#REF!</v>
      </c>
    </row>
    <row r="95" spans="20:25" x14ac:dyDescent="0.35">
      <c r="T95">
        <f t="shared" si="12"/>
        <v>0</v>
      </c>
      <c r="U95">
        <f t="shared" si="13"/>
        <v>0</v>
      </c>
      <c r="V95">
        <f t="shared" si="14"/>
        <v>0</v>
      </c>
      <c r="W95">
        <f t="shared" si="15"/>
        <v>0</v>
      </c>
      <c r="X95">
        <f t="shared" si="16"/>
        <v>0</v>
      </c>
      <c r="Y95" t="e">
        <f>LEN(#REF!)</f>
        <v>#REF!</v>
      </c>
    </row>
    <row r="96" spans="20:25" x14ac:dyDescent="0.35">
      <c r="T96">
        <f t="shared" si="12"/>
        <v>0</v>
      </c>
      <c r="U96">
        <f t="shared" si="13"/>
        <v>0</v>
      </c>
      <c r="V96">
        <f t="shared" si="14"/>
        <v>0</v>
      </c>
      <c r="W96">
        <f t="shared" si="15"/>
        <v>0</v>
      </c>
      <c r="X96">
        <f t="shared" si="16"/>
        <v>0</v>
      </c>
      <c r="Y96" t="e">
        <f>LEN(#REF!)</f>
        <v>#REF!</v>
      </c>
    </row>
    <row r="97" spans="20:25" x14ac:dyDescent="0.35">
      <c r="T97">
        <f t="shared" si="12"/>
        <v>0</v>
      </c>
      <c r="U97">
        <f t="shared" si="13"/>
        <v>0</v>
      </c>
      <c r="V97">
        <f t="shared" si="14"/>
        <v>0</v>
      </c>
      <c r="W97">
        <f t="shared" si="15"/>
        <v>0</v>
      </c>
      <c r="X97">
        <f t="shared" si="16"/>
        <v>0</v>
      </c>
      <c r="Y97" t="e">
        <f>LEN(#REF!)</f>
        <v>#REF!</v>
      </c>
    </row>
    <row r="98" spans="20:25" x14ac:dyDescent="0.35">
      <c r="T98">
        <f t="shared" ref="T98:T129" si="17">LEN(A98)</f>
        <v>0</v>
      </c>
      <c r="U98">
        <f t="shared" ref="U98:U129" si="18">LEN(B98)</f>
        <v>0</v>
      </c>
      <c r="V98">
        <f t="shared" ref="V98:V129" si="19">LEN(C98)</f>
        <v>0</v>
      </c>
      <c r="W98">
        <f t="shared" ref="W98:W129" si="20">LEN(D98)</f>
        <v>0</v>
      </c>
      <c r="X98">
        <f t="shared" ref="X98:X129" si="21">LEN(E98)</f>
        <v>0</v>
      </c>
      <c r="Y98" t="e">
        <f>LEN(#REF!)</f>
        <v>#REF!</v>
      </c>
    </row>
    <row r="99" spans="20:25" x14ac:dyDescent="0.35">
      <c r="T99">
        <f t="shared" si="17"/>
        <v>0</v>
      </c>
      <c r="U99">
        <f t="shared" si="18"/>
        <v>0</v>
      </c>
      <c r="V99">
        <f t="shared" si="19"/>
        <v>0</v>
      </c>
      <c r="W99">
        <f t="shared" si="20"/>
        <v>0</v>
      </c>
      <c r="X99">
        <f t="shared" si="21"/>
        <v>0</v>
      </c>
      <c r="Y99" t="e">
        <f>LEN(#REF!)</f>
        <v>#REF!</v>
      </c>
    </row>
    <row r="100" spans="20:25" x14ac:dyDescent="0.35">
      <c r="T100">
        <f t="shared" si="17"/>
        <v>0</v>
      </c>
      <c r="U100">
        <f t="shared" si="18"/>
        <v>0</v>
      </c>
      <c r="V100">
        <f t="shared" si="19"/>
        <v>0</v>
      </c>
      <c r="W100">
        <f t="shared" si="20"/>
        <v>0</v>
      </c>
      <c r="X100">
        <f t="shared" si="21"/>
        <v>0</v>
      </c>
      <c r="Y100" t="e">
        <f>LEN(#REF!)</f>
        <v>#REF!</v>
      </c>
    </row>
    <row r="101" spans="20:25" x14ac:dyDescent="0.35">
      <c r="T101">
        <f t="shared" si="17"/>
        <v>0</v>
      </c>
      <c r="U101">
        <f t="shared" si="18"/>
        <v>0</v>
      </c>
      <c r="V101">
        <f t="shared" si="19"/>
        <v>0</v>
      </c>
      <c r="W101">
        <f t="shared" si="20"/>
        <v>0</v>
      </c>
      <c r="X101">
        <f t="shared" si="21"/>
        <v>0</v>
      </c>
      <c r="Y101" t="e">
        <f>LEN(#REF!)</f>
        <v>#REF!</v>
      </c>
    </row>
    <row r="102" spans="20:25" x14ac:dyDescent="0.35">
      <c r="T102">
        <f t="shared" si="17"/>
        <v>0</v>
      </c>
      <c r="U102">
        <f t="shared" si="18"/>
        <v>0</v>
      </c>
      <c r="V102">
        <f t="shared" si="19"/>
        <v>0</v>
      </c>
      <c r="W102">
        <f t="shared" si="20"/>
        <v>0</v>
      </c>
      <c r="X102">
        <f t="shared" si="21"/>
        <v>0</v>
      </c>
      <c r="Y102" t="e">
        <f>LEN(#REF!)</f>
        <v>#REF!</v>
      </c>
    </row>
    <row r="103" spans="20:25" x14ac:dyDescent="0.35">
      <c r="T103">
        <f t="shared" si="17"/>
        <v>0</v>
      </c>
      <c r="U103">
        <f t="shared" si="18"/>
        <v>0</v>
      </c>
      <c r="V103">
        <f t="shared" si="19"/>
        <v>0</v>
      </c>
      <c r="W103">
        <f t="shared" si="20"/>
        <v>0</v>
      </c>
      <c r="X103">
        <f t="shared" si="21"/>
        <v>0</v>
      </c>
      <c r="Y103" t="e">
        <f>LEN(#REF!)</f>
        <v>#REF!</v>
      </c>
    </row>
    <row r="104" spans="20:25" x14ac:dyDescent="0.35">
      <c r="T104">
        <f t="shared" si="17"/>
        <v>0</v>
      </c>
      <c r="U104">
        <f t="shared" si="18"/>
        <v>0</v>
      </c>
      <c r="V104">
        <f t="shared" si="19"/>
        <v>0</v>
      </c>
      <c r="W104">
        <f t="shared" si="20"/>
        <v>0</v>
      </c>
      <c r="X104">
        <f t="shared" si="21"/>
        <v>0</v>
      </c>
      <c r="Y104" t="e">
        <f>LEN(#REF!)</f>
        <v>#REF!</v>
      </c>
    </row>
    <row r="105" spans="20:25" x14ac:dyDescent="0.35">
      <c r="T105">
        <f t="shared" si="17"/>
        <v>0</v>
      </c>
      <c r="U105">
        <f t="shared" si="18"/>
        <v>0</v>
      </c>
      <c r="V105">
        <f t="shared" si="19"/>
        <v>0</v>
      </c>
      <c r="W105">
        <f t="shared" si="20"/>
        <v>0</v>
      </c>
      <c r="X105">
        <f t="shared" si="21"/>
        <v>0</v>
      </c>
      <c r="Y105" t="e">
        <f>LEN(#REF!)</f>
        <v>#REF!</v>
      </c>
    </row>
    <row r="106" spans="20:25" x14ac:dyDescent="0.35">
      <c r="T106">
        <f t="shared" si="17"/>
        <v>0</v>
      </c>
      <c r="U106">
        <f t="shared" si="18"/>
        <v>0</v>
      </c>
      <c r="V106">
        <f t="shared" si="19"/>
        <v>0</v>
      </c>
      <c r="W106">
        <f t="shared" si="20"/>
        <v>0</v>
      </c>
      <c r="X106">
        <f t="shared" si="21"/>
        <v>0</v>
      </c>
      <c r="Y106" t="e">
        <f>LEN(#REF!)</f>
        <v>#REF!</v>
      </c>
    </row>
    <row r="107" spans="20:25" x14ac:dyDescent="0.35">
      <c r="T107">
        <f t="shared" si="17"/>
        <v>0</v>
      </c>
      <c r="U107">
        <f t="shared" si="18"/>
        <v>0</v>
      </c>
      <c r="V107">
        <f t="shared" si="19"/>
        <v>0</v>
      </c>
      <c r="W107">
        <f t="shared" si="20"/>
        <v>0</v>
      </c>
      <c r="X107">
        <f t="shared" si="21"/>
        <v>0</v>
      </c>
      <c r="Y107" t="e">
        <f>LEN(#REF!)</f>
        <v>#REF!</v>
      </c>
    </row>
    <row r="108" spans="20:25" x14ac:dyDescent="0.35">
      <c r="T108">
        <f t="shared" si="17"/>
        <v>0</v>
      </c>
      <c r="U108">
        <f t="shared" si="18"/>
        <v>0</v>
      </c>
      <c r="V108">
        <f t="shared" si="19"/>
        <v>0</v>
      </c>
      <c r="W108">
        <f t="shared" si="20"/>
        <v>0</v>
      </c>
      <c r="X108">
        <f t="shared" si="21"/>
        <v>0</v>
      </c>
      <c r="Y108" t="e">
        <f>LEN(#REF!)</f>
        <v>#REF!</v>
      </c>
    </row>
    <row r="109" spans="20:25" x14ac:dyDescent="0.35">
      <c r="T109">
        <f t="shared" si="17"/>
        <v>0</v>
      </c>
      <c r="U109">
        <f t="shared" si="18"/>
        <v>0</v>
      </c>
      <c r="V109">
        <f t="shared" si="19"/>
        <v>0</v>
      </c>
      <c r="W109">
        <f t="shared" si="20"/>
        <v>0</v>
      </c>
      <c r="X109">
        <f t="shared" si="21"/>
        <v>0</v>
      </c>
      <c r="Y109" t="e">
        <f>LEN(#REF!)</f>
        <v>#REF!</v>
      </c>
    </row>
    <row r="110" spans="20:25" x14ac:dyDescent="0.35">
      <c r="T110">
        <f t="shared" si="17"/>
        <v>0</v>
      </c>
      <c r="U110">
        <f t="shared" si="18"/>
        <v>0</v>
      </c>
      <c r="V110">
        <f t="shared" si="19"/>
        <v>0</v>
      </c>
      <c r="W110">
        <f t="shared" si="20"/>
        <v>0</v>
      </c>
      <c r="X110">
        <f t="shared" si="21"/>
        <v>0</v>
      </c>
      <c r="Y110" t="e">
        <f>LEN(#REF!)</f>
        <v>#REF!</v>
      </c>
    </row>
    <row r="111" spans="20:25" x14ac:dyDescent="0.35">
      <c r="T111">
        <f t="shared" si="17"/>
        <v>0</v>
      </c>
      <c r="U111">
        <f t="shared" si="18"/>
        <v>0</v>
      </c>
      <c r="V111">
        <f t="shared" si="19"/>
        <v>0</v>
      </c>
      <c r="W111">
        <f t="shared" si="20"/>
        <v>0</v>
      </c>
      <c r="X111">
        <f t="shared" si="21"/>
        <v>0</v>
      </c>
      <c r="Y111" t="e">
        <f>LEN(#REF!)</f>
        <v>#REF!</v>
      </c>
    </row>
    <row r="112" spans="20:25" x14ac:dyDescent="0.35">
      <c r="T112">
        <f t="shared" si="17"/>
        <v>0</v>
      </c>
      <c r="U112">
        <f t="shared" si="18"/>
        <v>0</v>
      </c>
      <c r="V112">
        <f t="shared" si="19"/>
        <v>0</v>
      </c>
      <c r="W112">
        <f t="shared" si="20"/>
        <v>0</v>
      </c>
      <c r="X112">
        <f t="shared" si="21"/>
        <v>0</v>
      </c>
      <c r="Y112" t="e">
        <f>LEN(#REF!)</f>
        <v>#REF!</v>
      </c>
    </row>
    <row r="113" spans="20:25" x14ac:dyDescent="0.35">
      <c r="T113">
        <f t="shared" si="17"/>
        <v>0</v>
      </c>
      <c r="U113">
        <f t="shared" si="18"/>
        <v>0</v>
      </c>
      <c r="V113">
        <f t="shared" si="19"/>
        <v>0</v>
      </c>
      <c r="W113">
        <f t="shared" si="20"/>
        <v>0</v>
      </c>
      <c r="X113">
        <f t="shared" si="21"/>
        <v>0</v>
      </c>
      <c r="Y113" t="e">
        <f>LEN(#REF!)</f>
        <v>#REF!</v>
      </c>
    </row>
    <row r="114" spans="20:25" x14ac:dyDescent="0.35">
      <c r="T114">
        <f t="shared" si="17"/>
        <v>0</v>
      </c>
      <c r="U114">
        <f t="shared" si="18"/>
        <v>0</v>
      </c>
      <c r="V114">
        <f t="shared" si="19"/>
        <v>0</v>
      </c>
      <c r="W114">
        <f t="shared" si="20"/>
        <v>0</v>
      </c>
      <c r="X114">
        <f t="shared" si="21"/>
        <v>0</v>
      </c>
      <c r="Y114" t="e">
        <f>LEN(#REF!)</f>
        <v>#REF!</v>
      </c>
    </row>
    <row r="115" spans="20:25" x14ac:dyDescent="0.35">
      <c r="T115">
        <f t="shared" si="17"/>
        <v>0</v>
      </c>
      <c r="U115">
        <f t="shared" si="18"/>
        <v>0</v>
      </c>
      <c r="V115">
        <f t="shared" si="19"/>
        <v>0</v>
      </c>
      <c r="W115">
        <f t="shared" si="20"/>
        <v>0</v>
      </c>
      <c r="X115">
        <f t="shared" si="21"/>
        <v>0</v>
      </c>
      <c r="Y115" t="e">
        <f>LEN(#REF!)</f>
        <v>#REF!</v>
      </c>
    </row>
    <row r="116" spans="20:25" x14ac:dyDescent="0.35">
      <c r="T116">
        <f t="shared" si="17"/>
        <v>0</v>
      </c>
      <c r="U116">
        <f t="shared" si="18"/>
        <v>0</v>
      </c>
      <c r="V116">
        <f t="shared" si="19"/>
        <v>0</v>
      </c>
      <c r="W116">
        <f t="shared" si="20"/>
        <v>0</v>
      </c>
      <c r="X116">
        <f t="shared" si="21"/>
        <v>0</v>
      </c>
      <c r="Y116" t="e">
        <f>LEN(#REF!)</f>
        <v>#REF!</v>
      </c>
    </row>
    <row r="117" spans="20:25" x14ac:dyDescent="0.35">
      <c r="T117">
        <f t="shared" si="17"/>
        <v>0</v>
      </c>
      <c r="U117">
        <f t="shared" si="18"/>
        <v>0</v>
      </c>
      <c r="V117">
        <f t="shared" si="19"/>
        <v>0</v>
      </c>
      <c r="W117">
        <f t="shared" si="20"/>
        <v>0</v>
      </c>
      <c r="X117">
        <f t="shared" si="21"/>
        <v>0</v>
      </c>
      <c r="Y117" t="e">
        <f>LEN(#REF!)</f>
        <v>#REF!</v>
      </c>
    </row>
    <row r="118" spans="20:25" x14ac:dyDescent="0.35">
      <c r="T118">
        <f t="shared" si="17"/>
        <v>0</v>
      </c>
      <c r="U118">
        <f t="shared" si="18"/>
        <v>0</v>
      </c>
      <c r="V118">
        <f t="shared" si="19"/>
        <v>0</v>
      </c>
      <c r="W118">
        <f t="shared" si="20"/>
        <v>0</v>
      </c>
      <c r="X118">
        <f t="shared" si="21"/>
        <v>0</v>
      </c>
      <c r="Y118" t="e">
        <f>LEN(#REF!)</f>
        <v>#REF!</v>
      </c>
    </row>
    <row r="119" spans="20:25" x14ac:dyDescent="0.35">
      <c r="T119">
        <f t="shared" si="17"/>
        <v>0</v>
      </c>
      <c r="U119">
        <f t="shared" si="18"/>
        <v>0</v>
      </c>
      <c r="V119">
        <f t="shared" si="19"/>
        <v>0</v>
      </c>
      <c r="W119">
        <f t="shared" si="20"/>
        <v>0</v>
      </c>
      <c r="X119">
        <f t="shared" si="21"/>
        <v>0</v>
      </c>
      <c r="Y119" t="e">
        <f>LEN(#REF!)</f>
        <v>#REF!</v>
      </c>
    </row>
    <row r="120" spans="20:25" x14ac:dyDescent="0.35">
      <c r="T120">
        <f t="shared" si="17"/>
        <v>0</v>
      </c>
      <c r="U120">
        <f t="shared" si="18"/>
        <v>0</v>
      </c>
      <c r="V120">
        <f t="shared" si="19"/>
        <v>0</v>
      </c>
      <c r="W120">
        <f t="shared" si="20"/>
        <v>0</v>
      </c>
      <c r="X120">
        <f t="shared" si="21"/>
        <v>0</v>
      </c>
      <c r="Y120" t="e">
        <f>LEN(#REF!)</f>
        <v>#REF!</v>
      </c>
    </row>
    <row r="121" spans="20:25" x14ac:dyDescent="0.35">
      <c r="T121">
        <f t="shared" si="17"/>
        <v>0</v>
      </c>
      <c r="U121">
        <f t="shared" si="18"/>
        <v>0</v>
      </c>
      <c r="V121">
        <f t="shared" si="19"/>
        <v>0</v>
      </c>
      <c r="W121">
        <f t="shared" si="20"/>
        <v>0</v>
      </c>
      <c r="X121">
        <f t="shared" si="21"/>
        <v>0</v>
      </c>
      <c r="Y121" t="e">
        <f>LEN(#REF!)</f>
        <v>#REF!</v>
      </c>
    </row>
    <row r="122" spans="20:25" x14ac:dyDescent="0.35">
      <c r="T122">
        <f t="shared" si="17"/>
        <v>0</v>
      </c>
      <c r="U122">
        <f t="shared" si="18"/>
        <v>0</v>
      </c>
      <c r="V122">
        <f t="shared" si="19"/>
        <v>0</v>
      </c>
      <c r="W122">
        <f t="shared" si="20"/>
        <v>0</v>
      </c>
      <c r="X122">
        <f t="shared" si="21"/>
        <v>0</v>
      </c>
      <c r="Y122" t="e">
        <f>LEN(#REF!)</f>
        <v>#REF!</v>
      </c>
    </row>
    <row r="123" spans="20:25" x14ac:dyDescent="0.35">
      <c r="T123">
        <f t="shared" si="17"/>
        <v>0</v>
      </c>
      <c r="U123">
        <f t="shared" si="18"/>
        <v>0</v>
      </c>
      <c r="V123">
        <f t="shared" si="19"/>
        <v>0</v>
      </c>
      <c r="W123">
        <f t="shared" si="20"/>
        <v>0</v>
      </c>
      <c r="X123">
        <f t="shared" si="21"/>
        <v>0</v>
      </c>
      <c r="Y123" t="e">
        <f>LEN(#REF!)</f>
        <v>#REF!</v>
      </c>
    </row>
    <row r="124" spans="20:25" x14ac:dyDescent="0.35">
      <c r="T124">
        <f t="shared" si="17"/>
        <v>0</v>
      </c>
      <c r="U124">
        <f t="shared" si="18"/>
        <v>0</v>
      </c>
      <c r="V124">
        <f t="shared" si="19"/>
        <v>0</v>
      </c>
      <c r="W124">
        <f t="shared" si="20"/>
        <v>0</v>
      </c>
      <c r="X124">
        <f t="shared" si="21"/>
        <v>0</v>
      </c>
      <c r="Y124" t="e">
        <f>LEN(#REF!)</f>
        <v>#REF!</v>
      </c>
    </row>
    <row r="125" spans="20:25" x14ac:dyDescent="0.35">
      <c r="T125">
        <f t="shared" si="17"/>
        <v>0</v>
      </c>
      <c r="U125">
        <f t="shared" si="18"/>
        <v>0</v>
      </c>
      <c r="V125">
        <f t="shared" si="19"/>
        <v>0</v>
      </c>
      <c r="W125">
        <f t="shared" si="20"/>
        <v>0</v>
      </c>
      <c r="X125">
        <f t="shared" si="21"/>
        <v>0</v>
      </c>
      <c r="Y125" t="e">
        <f>LEN(#REF!)</f>
        <v>#REF!</v>
      </c>
    </row>
    <row r="126" spans="20:25" x14ac:dyDescent="0.35">
      <c r="T126">
        <f t="shared" si="17"/>
        <v>0</v>
      </c>
      <c r="U126">
        <f t="shared" si="18"/>
        <v>0</v>
      </c>
      <c r="V126">
        <f t="shared" si="19"/>
        <v>0</v>
      </c>
      <c r="W126">
        <f t="shared" si="20"/>
        <v>0</v>
      </c>
      <c r="X126">
        <f t="shared" si="21"/>
        <v>0</v>
      </c>
      <c r="Y126" t="e">
        <f>LEN(#REF!)</f>
        <v>#REF!</v>
      </c>
    </row>
    <row r="127" spans="20:25" x14ac:dyDescent="0.35">
      <c r="T127">
        <f t="shared" si="17"/>
        <v>0</v>
      </c>
      <c r="U127">
        <f t="shared" si="18"/>
        <v>0</v>
      </c>
      <c r="V127">
        <f t="shared" si="19"/>
        <v>0</v>
      </c>
      <c r="W127">
        <f t="shared" si="20"/>
        <v>0</v>
      </c>
      <c r="X127">
        <f t="shared" si="21"/>
        <v>0</v>
      </c>
      <c r="Y127" t="e">
        <f>LEN(#REF!)</f>
        <v>#REF!</v>
      </c>
    </row>
    <row r="128" spans="20:25" x14ac:dyDescent="0.35">
      <c r="T128">
        <f t="shared" si="17"/>
        <v>0</v>
      </c>
      <c r="U128">
        <f t="shared" si="18"/>
        <v>0</v>
      </c>
      <c r="V128">
        <f t="shared" si="19"/>
        <v>0</v>
      </c>
      <c r="W128">
        <f t="shared" si="20"/>
        <v>0</v>
      </c>
      <c r="X128">
        <f t="shared" si="21"/>
        <v>0</v>
      </c>
      <c r="Y128" t="e">
        <f>LEN(#REF!)</f>
        <v>#REF!</v>
      </c>
    </row>
    <row r="129" spans="20:25" x14ac:dyDescent="0.35">
      <c r="T129">
        <f t="shared" si="17"/>
        <v>0</v>
      </c>
      <c r="U129">
        <f t="shared" si="18"/>
        <v>0</v>
      </c>
      <c r="V129">
        <f t="shared" si="19"/>
        <v>0</v>
      </c>
      <c r="W129">
        <f t="shared" si="20"/>
        <v>0</v>
      </c>
      <c r="X129">
        <f t="shared" si="21"/>
        <v>0</v>
      </c>
      <c r="Y129" t="e">
        <f>LEN(#REF!)</f>
        <v>#REF!</v>
      </c>
    </row>
    <row r="130" spans="20:25" x14ac:dyDescent="0.35">
      <c r="T130">
        <f t="shared" ref="T130:T157" si="22">LEN(A130)</f>
        <v>0</v>
      </c>
      <c r="U130">
        <f t="shared" ref="U130:U157" si="23">LEN(B130)</f>
        <v>0</v>
      </c>
      <c r="V130">
        <f t="shared" ref="V130:V157" si="24">LEN(C130)</f>
        <v>0</v>
      </c>
      <c r="W130">
        <f t="shared" ref="W130:W157" si="25">LEN(D130)</f>
        <v>0</v>
      </c>
      <c r="X130">
        <f t="shared" ref="X130:X157" si="26">LEN(E130)</f>
        <v>0</v>
      </c>
      <c r="Y130" t="e">
        <f>LEN(#REF!)</f>
        <v>#REF!</v>
      </c>
    </row>
    <row r="131" spans="20:25" x14ac:dyDescent="0.35">
      <c r="T131">
        <f t="shared" si="22"/>
        <v>0</v>
      </c>
      <c r="U131">
        <f t="shared" si="23"/>
        <v>0</v>
      </c>
      <c r="V131">
        <f t="shared" si="24"/>
        <v>0</v>
      </c>
      <c r="W131">
        <f t="shared" si="25"/>
        <v>0</v>
      </c>
      <c r="X131">
        <f t="shared" si="26"/>
        <v>0</v>
      </c>
      <c r="Y131" t="e">
        <f>LEN(#REF!)</f>
        <v>#REF!</v>
      </c>
    </row>
    <row r="132" spans="20:25" x14ac:dyDescent="0.35">
      <c r="T132">
        <f t="shared" si="22"/>
        <v>0</v>
      </c>
      <c r="U132">
        <f t="shared" si="23"/>
        <v>0</v>
      </c>
      <c r="V132">
        <f t="shared" si="24"/>
        <v>0</v>
      </c>
      <c r="W132">
        <f t="shared" si="25"/>
        <v>0</v>
      </c>
      <c r="X132">
        <f t="shared" si="26"/>
        <v>0</v>
      </c>
      <c r="Y132" t="e">
        <f>LEN(#REF!)</f>
        <v>#REF!</v>
      </c>
    </row>
    <row r="133" spans="20:25" x14ac:dyDescent="0.35">
      <c r="T133">
        <f t="shared" si="22"/>
        <v>0</v>
      </c>
      <c r="U133">
        <f t="shared" si="23"/>
        <v>0</v>
      </c>
      <c r="V133">
        <f t="shared" si="24"/>
        <v>0</v>
      </c>
      <c r="W133">
        <f t="shared" si="25"/>
        <v>0</v>
      </c>
      <c r="X133">
        <f t="shared" si="26"/>
        <v>0</v>
      </c>
      <c r="Y133" t="e">
        <f>LEN(#REF!)</f>
        <v>#REF!</v>
      </c>
    </row>
    <row r="134" spans="20:25" x14ac:dyDescent="0.35">
      <c r="T134">
        <f t="shared" si="22"/>
        <v>0</v>
      </c>
      <c r="U134">
        <f t="shared" si="23"/>
        <v>0</v>
      </c>
      <c r="V134">
        <f t="shared" si="24"/>
        <v>0</v>
      </c>
      <c r="W134">
        <f t="shared" si="25"/>
        <v>0</v>
      </c>
      <c r="X134">
        <f t="shared" si="26"/>
        <v>0</v>
      </c>
      <c r="Y134" t="e">
        <f>LEN(#REF!)</f>
        <v>#REF!</v>
      </c>
    </row>
    <row r="135" spans="20:25" x14ac:dyDescent="0.35">
      <c r="T135">
        <f t="shared" si="22"/>
        <v>0</v>
      </c>
      <c r="U135">
        <f t="shared" si="23"/>
        <v>0</v>
      </c>
      <c r="V135">
        <f t="shared" si="24"/>
        <v>0</v>
      </c>
      <c r="W135">
        <f t="shared" si="25"/>
        <v>0</v>
      </c>
      <c r="X135">
        <f t="shared" si="26"/>
        <v>0</v>
      </c>
      <c r="Y135" t="e">
        <f>LEN(#REF!)</f>
        <v>#REF!</v>
      </c>
    </row>
    <row r="136" spans="20:25" x14ac:dyDescent="0.35">
      <c r="T136">
        <f t="shared" si="22"/>
        <v>0</v>
      </c>
      <c r="U136">
        <f t="shared" si="23"/>
        <v>0</v>
      </c>
      <c r="V136">
        <f t="shared" si="24"/>
        <v>0</v>
      </c>
      <c r="W136">
        <f t="shared" si="25"/>
        <v>0</v>
      </c>
      <c r="X136">
        <f t="shared" si="26"/>
        <v>0</v>
      </c>
      <c r="Y136" t="e">
        <f>LEN(#REF!)</f>
        <v>#REF!</v>
      </c>
    </row>
    <row r="137" spans="20:25" x14ac:dyDescent="0.35">
      <c r="T137">
        <f t="shared" si="22"/>
        <v>0</v>
      </c>
      <c r="U137">
        <f t="shared" si="23"/>
        <v>0</v>
      </c>
      <c r="V137">
        <f t="shared" si="24"/>
        <v>0</v>
      </c>
      <c r="W137">
        <f t="shared" si="25"/>
        <v>0</v>
      </c>
      <c r="X137">
        <f t="shared" si="26"/>
        <v>0</v>
      </c>
      <c r="Y137" t="e">
        <f>LEN(#REF!)</f>
        <v>#REF!</v>
      </c>
    </row>
    <row r="138" spans="20:25" x14ac:dyDescent="0.35">
      <c r="T138">
        <f t="shared" si="22"/>
        <v>0</v>
      </c>
      <c r="U138">
        <f t="shared" si="23"/>
        <v>0</v>
      </c>
      <c r="V138">
        <f t="shared" si="24"/>
        <v>0</v>
      </c>
      <c r="W138">
        <f t="shared" si="25"/>
        <v>0</v>
      </c>
      <c r="X138">
        <f t="shared" si="26"/>
        <v>0</v>
      </c>
      <c r="Y138" t="e">
        <f>LEN(#REF!)</f>
        <v>#REF!</v>
      </c>
    </row>
    <row r="139" spans="20:25" x14ac:dyDescent="0.35">
      <c r="T139">
        <f t="shared" si="22"/>
        <v>0</v>
      </c>
      <c r="U139">
        <f t="shared" si="23"/>
        <v>0</v>
      </c>
      <c r="V139">
        <f t="shared" si="24"/>
        <v>0</v>
      </c>
      <c r="W139">
        <f t="shared" si="25"/>
        <v>0</v>
      </c>
      <c r="X139">
        <f t="shared" si="26"/>
        <v>0</v>
      </c>
      <c r="Y139" t="e">
        <f>LEN(#REF!)</f>
        <v>#REF!</v>
      </c>
    </row>
    <row r="140" spans="20:25" x14ac:dyDescent="0.35">
      <c r="T140">
        <f t="shared" si="22"/>
        <v>0</v>
      </c>
      <c r="U140">
        <f t="shared" si="23"/>
        <v>0</v>
      </c>
      <c r="V140">
        <f t="shared" si="24"/>
        <v>0</v>
      </c>
      <c r="W140">
        <f t="shared" si="25"/>
        <v>0</v>
      </c>
      <c r="X140">
        <f t="shared" si="26"/>
        <v>0</v>
      </c>
      <c r="Y140" t="e">
        <f>LEN(#REF!)</f>
        <v>#REF!</v>
      </c>
    </row>
    <row r="141" spans="20:25" x14ac:dyDescent="0.35">
      <c r="T141">
        <f t="shared" si="22"/>
        <v>0</v>
      </c>
      <c r="U141">
        <f t="shared" si="23"/>
        <v>0</v>
      </c>
      <c r="V141">
        <f t="shared" si="24"/>
        <v>0</v>
      </c>
      <c r="W141">
        <f t="shared" si="25"/>
        <v>0</v>
      </c>
      <c r="X141">
        <f t="shared" si="26"/>
        <v>0</v>
      </c>
      <c r="Y141" t="e">
        <f>LEN(#REF!)</f>
        <v>#REF!</v>
      </c>
    </row>
    <row r="142" spans="20:25" x14ac:dyDescent="0.35">
      <c r="T142">
        <f t="shared" si="22"/>
        <v>0</v>
      </c>
      <c r="U142">
        <f t="shared" si="23"/>
        <v>0</v>
      </c>
      <c r="V142">
        <f t="shared" si="24"/>
        <v>0</v>
      </c>
      <c r="W142">
        <f t="shared" si="25"/>
        <v>0</v>
      </c>
      <c r="X142">
        <f t="shared" si="26"/>
        <v>0</v>
      </c>
      <c r="Y142" t="e">
        <f>LEN(#REF!)</f>
        <v>#REF!</v>
      </c>
    </row>
    <row r="143" spans="20:25" x14ac:dyDescent="0.35">
      <c r="T143">
        <f t="shared" si="22"/>
        <v>0</v>
      </c>
      <c r="U143">
        <f t="shared" si="23"/>
        <v>0</v>
      </c>
      <c r="V143">
        <f t="shared" si="24"/>
        <v>0</v>
      </c>
      <c r="W143">
        <f t="shared" si="25"/>
        <v>0</v>
      </c>
      <c r="X143">
        <f t="shared" si="26"/>
        <v>0</v>
      </c>
      <c r="Y143" t="e">
        <f>LEN(#REF!)</f>
        <v>#REF!</v>
      </c>
    </row>
    <row r="144" spans="20:25" x14ac:dyDescent="0.35">
      <c r="T144">
        <f t="shared" si="22"/>
        <v>0</v>
      </c>
      <c r="U144">
        <f t="shared" si="23"/>
        <v>0</v>
      </c>
      <c r="V144">
        <f t="shared" si="24"/>
        <v>0</v>
      </c>
      <c r="W144">
        <f t="shared" si="25"/>
        <v>0</v>
      </c>
      <c r="X144">
        <f t="shared" si="26"/>
        <v>0</v>
      </c>
      <c r="Y144" t="e">
        <f>LEN(#REF!)</f>
        <v>#REF!</v>
      </c>
    </row>
    <row r="145" spans="20:25" x14ac:dyDescent="0.35">
      <c r="T145">
        <f t="shared" si="22"/>
        <v>0</v>
      </c>
      <c r="U145">
        <f t="shared" si="23"/>
        <v>0</v>
      </c>
      <c r="V145">
        <f t="shared" si="24"/>
        <v>0</v>
      </c>
      <c r="W145">
        <f t="shared" si="25"/>
        <v>0</v>
      </c>
      <c r="X145">
        <f t="shared" si="26"/>
        <v>0</v>
      </c>
      <c r="Y145" t="e">
        <f>LEN(#REF!)</f>
        <v>#REF!</v>
      </c>
    </row>
    <row r="146" spans="20:25" x14ac:dyDescent="0.35">
      <c r="T146">
        <f t="shared" si="22"/>
        <v>0</v>
      </c>
      <c r="U146">
        <f t="shared" si="23"/>
        <v>0</v>
      </c>
      <c r="V146">
        <f t="shared" si="24"/>
        <v>0</v>
      </c>
      <c r="W146">
        <f t="shared" si="25"/>
        <v>0</v>
      </c>
      <c r="X146">
        <f t="shared" si="26"/>
        <v>0</v>
      </c>
      <c r="Y146" t="e">
        <f>LEN(#REF!)</f>
        <v>#REF!</v>
      </c>
    </row>
    <row r="147" spans="20:25" x14ac:dyDescent="0.35">
      <c r="T147">
        <f t="shared" si="22"/>
        <v>0</v>
      </c>
      <c r="U147">
        <f t="shared" si="23"/>
        <v>0</v>
      </c>
      <c r="V147">
        <f t="shared" si="24"/>
        <v>0</v>
      </c>
      <c r="W147">
        <f t="shared" si="25"/>
        <v>0</v>
      </c>
      <c r="X147">
        <f t="shared" si="26"/>
        <v>0</v>
      </c>
      <c r="Y147" t="e">
        <f>LEN(#REF!)</f>
        <v>#REF!</v>
      </c>
    </row>
    <row r="148" spans="20:25" x14ac:dyDescent="0.35">
      <c r="T148">
        <f t="shared" si="22"/>
        <v>0</v>
      </c>
      <c r="U148">
        <f t="shared" si="23"/>
        <v>0</v>
      </c>
      <c r="V148">
        <f t="shared" si="24"/>
        <v>0</v>
      </c>
      <c r="W148">
        <f t="shared" si="25"/>
        <v>0</v>
      </c>
      <c r="X148">
        <f t="shared" si="26"/>
        <v>0</v>
      </c>
      <c r="Y148" t="e">
        <f>LEN(#REF!)</f>
        <v>#REF!</v>
      </c>
    </row>
    <row r="149" spans="20:25" x14ac:dyDescent="0.35">
      <c r="T149">
        <f t="shared" si="22"/>
        <v>0</v>
      </c>
      <c r="U149">
        <f t="shared" si="23"/>
        <v>0</v>
      </c>
      <c r="V149">
        <f t="shared" si="24"/>
        <v>0</v>
      </c>
      <c r="W149">
        <f t="shared" si="25"/>
        <v>0</v>
      </c>
      <c r="X149">
        <f t="shared" si="26"/>
        <v>0</v>
      </c>
      <c r="Y149" t="e">
        <f>LEN(#REF!)</f>
        <v>#REF!</v>
      </c>
    </row>
    <row r="150" spans="20:25" x14ac:dyDescent="0.35">
      <c r="T150">
        <f t="shared" si="22"/>
        <v>0</v>
      </c>
      <c r="U150">
        <f t="shared" si="23"/>
        <v>0</v>
      </c>
      <c r="V150">
        <f t="shared" si="24"/>
        <v>0</v>
      </c>
      <c r="W150">
        <f t="shared" si="25"/>
        <v>0</v>
      </c>
      <c r="X150">
        <f t="shared" si="26"/>
        <v>0</v>
      </c>
      <c r="Y150" t="e">
        <f>LEN(#REF!)</f>
        <v>#REF!</v>
      </c>
    </row>
    <row r="151" spans="20:25" x14ac:dyDescent="0.35">
      <c r="T151">
        <f t="shared" si="22"/>
        <v>0</v>
      </c>
      <c r="U151">
        <f t="shared" si="23"/>
        <v>0</v>
      </c>
      <c r="V151">
        <f t="shared" si="24"/>
        <v>0</v>
      </c>
      <c r="W151">
        <f t="shared" si="25"/>
        <v>0</v>
      </c>
      <c r="X151">
        <f t="shared" si="26"/>
        <v>0</v>
      </c>
      <c r="Y151" t="e">
        <f>LEN(#REF!)</f>
        <v>#REF!</v>
      </c>
    </row>
    <row r="152" spans="20:25" x14ac:dyDescent="0.35">
      <c r="T152">
        <f t="shared" si="22"/>
        <v>0</v>
      </c>
      <c r="U152">
        <f t="shared" si="23"/>
        <v>0</v>
      </c>
      <c r="V152">
        <f t="shared" si="24"/>
        <v>0</v>
      </c>
      <c r="W152">
        <f t="shared" si="25"/>
        <v>0</v>
      </c>
      <c r="X152">
        <f t="shared" si="26"/>
        <v>0</v>
      </c>
      <c r="Y152" t="e">
        <f>LEN(#REF!)</f>
        <v>#REF!</v>
      </c>
    </row>
    <row r="153" spans="20:25" x14ac:dyDescent="0.35">
      <c r="T153">
        <f t="shared" si="22"/>
        <v>0</v>
      </c>
      <c r="U153">
        <f t="shared" si="23"/>
        <v>0</v>
      </c>
      <c r="V153">
        <f t="shared" si="24"/>
        <v>0</v>
      </c>
      <c r="W153">
        <f t="shared" si="25"/>
        <v>0</v>
      </c>
      <c r="X153">
        <f t="shared" si="26"/>
        <v>0</v>
      </c>
      <c r="Y153" t="e">
        <f>LEN(#REF!)</f>
        <v>#REF!</v>
      </c>
    </row>
    <row r="154" spans="20:25" x14ac:dyDescent="0.35">
      <c r="T154">
        <f t="shared" si="22"/>
        <v>0</v>
      </c>
      <c r="U154">
        <f t="shared" si="23"/>
        <v>0</v>
      </c>
      <c r="V154">
        <f t="shared" si="24"/>
        <v>0</v>
      </c>
      <c r="W154">
        <f t="shared" si="25"/>
        <v>0</v>
      </c>
      <c r="X154">
        <f t="shared" si="26"/>
        <v>0</v>
      </c>
      <c r="Y154" t="e">
        <f>LEN(#REF!)</f>
        <v>#REF!</v>
      </c>
    </row>
    <row r="155" spans="20:25" x14ac:dyDescent="0.35">
      <c r="T155">
        <f t="shared" si="22"/>
        <v>0</v>
      </c>
      <c r="U155">
        <f t="shared" si="23"/>
        <v>0</v>
      </c>
      <c r="V155">
        <f t="shared" si="24"/>
        <v>0</v>
      </c>
      <c r="W155">
        <f t="shared" si="25"/>
        <v>0</v>
      </c>
      <c r="X155">
        <f t="shared" si="26"/>
        <v>0</v>
      </c>
      <c r="Y155" t="e">
        <f>LEN(#REF!)</f>
        <v>#REF!</v>
      </c>
    </row>
    <row r="156" spans="20:25" x14ac:dyDescent="0.35">
      <c r="T156">
        <f t="shared" si="22"/>
        <v>0</v>
      </c>
      <c r="U156">
        <f t="shared" si="23"/>
        <v>0</v>
      </c>
      <c r="V156">
        <f t="shared" si="24"/>
        <v>0</v>
      </c>
      <c r="W156">
        <f t="shared" si="25"/>
        <v>0</v>
      </c>
      <c r="X156">
        <f t="shared" si="26"/>
        <v>0</v>
      </c>
      <c r="Y156" t="e">
        <f>LEN(#REF!)</f>
        <v>#REF!</v>
      </c>
    </row>
    <row r="157" spans="20:25" x14ac:dyDescent="0.35">
      <c r="T157">
        <f t="shared" si="22"/>
        <v>0</v>
      </c>
      <c r="U157">
        <f t="shared" si="23"/>
        <v>0</v>
      </c>
      <c r="V157">
        <f t="shared" si="24"/>
        <v>0</v>
      </c>
      <c r="W157">
        <f t="shared" si="25"/>
        <v>0</v>
      </c>
      <c r="X157">
        <f t="shared" si="26"/>
        <v>0</v>
      </c>
      <c r="Y157" t="e">
        <f>LEN(#REF!)</f>
        <v>#REF!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B123-C568-4151-8708-46738D082D20}">
  <dimension ref="A1:S21"/>
  <sheetViews>
    <sheetView workbookViewId="0">
      <selection activeCell="H15" sqref="H15"/>
    </sheetView>
  </sheetViews>
  <sheetFormatPr baseColWidth="10" defaultRowHeight="14.5" x14ac:dyDescent="0.35"/>
  <cols>
    <col min="1" max="1" width="10.6328125" style="15"/>
    <col min="2" max="2" width="11.453125" bestFit="1" customWidth="1"/>
    <col min="3" max="3" width="8.1796875" bestFit="1" customWidth="1"/>
    <col min="4" max="4" width="10.6328125" customWidth="1"/>
    <col min="5" max="6" width="16.1796875" customWidth="1"/>
    <col min="7" max="18" width="9.6328125" customWidth="1"/>
  </cols>
  <sheetData>
    <row r="1" spans="1:19" x14ac:dyDescent="0.35">
      <c r="A1" s="1" t="s">
        <v>330</v>
      </c>
      <c r="B1" s="1" t="s">
        <v>0</v>
      </c>
      <c r="C1" s="1" t="s">
        <v>1</v>
      </c>
      <c r="D1" s="1" t="s">
        <v>2</v>
      </c>
      <c r="E1" s="1" t="s">
        <v>577</v>
      </c>
      <c r="F1" s="1" t="s">
        <v>4</v>
      </c>
      <c r="S1" s="32" t="s">
        <v>1405</v>
      </c>
    </row>
    <row r="2" spans="1:19" x14ac:dyDescent="0.35">
      <c r="A2" s="15">
        <v>1</v>
      </c>
      <c r="B2" t="s">
        <v>570</v>
      </c>
      <c r="C2" t="s">
        <v>571</v>
      </c>
      <c r="D2" t="s">
        <v>7</v>
      </c>
      <c r="E2" t="s">
        <v>8</v>
      </c>
      <c r="F2">
        <v>1926</v>
      </c>
      <c r="S2" t="str">
        <f t="shared" ref="S2:S21" si="0">CONCATENATE("INSERT INTO Tab3_TOP10_JoueursFoot VALUES ('",A2,$S$1,B2,$S$1,C2,$S$1,D2,$S$1,E2,$S$1,F2,"');")</f>
        <v>INSERT INTO Tab3_TOP10_JoueursFoot VALUES ('1', 'Di Stéfano', 'Alfredo', 'Attaquant', 'Argentine', '1926');</v>
      </c>
    </row>
    <row r="3" spans="1:19" x14ac:dyDescent="0.35">
      <c r="A3" s="15">
        <v>2</v>
      </c>
      <c r="B3" t="s">
        <v>578</v>
      </c>
      <c r="C3" t="s">
        <v>579</v>
      </c>
      <c r="D3" t="s">
        <v>42</v>
      </c>
      <c r="E3" t="s">
        <v>580</v>
      </c>
      <c r="F3">
        <v>1929</v>
      </c>
      <c r="S3" t="str">
        <f t="shared" si="0"/>
        <v>INSERT INTO Tab3_TOP10_JoueursFoot VALUES ('2', 'Yashin', 'Lev', 'Gardien', 'Russie', '1929');</v>
      </c>
    </row>
    <row r="4" spans="1:19" x14ac:dyDescent="0.35">
      <c r="A4" s="15">
        <v>3</v>
      </c>
      <c r="B4" t="s">
        <v>583</v>
      </c>
      <c r="C4" t="s">
        <v>584</v>
      </c>
      <c r="D4" t="s">
        <v>42</v>
      </c>
      <c r="E4" t="s">
        <v>72</v>
      </c>
      <c r="F4">
        <v>1937</v>
      </c>
      <c r="S4" t="str">
        <f t="shared" si="0"/>
        <v>INSERT INTO Tab3_TOP10_JoueursFoot VALUES ('3', 'Banks', 'Gordon', 'Gardien', 'Angleterre', '1937');</v>
      </c>
    </row>
    <row r="5" spans="1:19" x14ac:dyDescent="0.35">
      <c r="A5" s="15">
        <v>4</v>
      </c>
      <c r="B5" t="s">
        <v>562</v>
      </c>
      <c r="C5" t="s">
        <v>563</v>
      </c>
      <c r="D5" t="s">
        <v>7</v>
      </c>
      <c r="E5" t="s">
        <v>14</v>
      </c>
      <c r="F5">
        <v>1940</v>
      </c>
      <c r="S5" t="str">
        <f t="shared" si="0"/>
        <v>INSERT INTO Tab3_TOP10_JoueursFoot VALUES ('4', 'Pelé', 'Edson', 'Attaquant', 'Brésil', '1940');</v>
      </c>
    </row>
    <row r="6" spans="1:19" x14ac:dyDescent="0.35">
      <c r="A6" s="15">
        <v>5</v>
      </c>
      <c r="B6" t="s">
        <v>581</v>
      </c>
      <c r="C6" t="s">
        <v>582</v>
      </c>
      <c r="D6" t="s">
        <v>42</v>
      </c>
      <c r="E6" t="s">
        <v>79</v>
      </c>
      <c r="F6">
        <v>1942</v>
      </c>
      <c r="S6" t="str">
        <f t="shared" si="0"/>
        <v>INSERT INTO Tab3_TOP10_JoueursFoot VALUES ('5', 'Zoff', 'Dino', 'Gardien', 'Italie', '1942');</v>
      </c>
    </row>
    <row r="7" spans="1:19" x14ac:dyDescent="0.35">
      <c r="A7" s="15">
        <v>6</v>
      </c>
      <c r="B7" t="s">
        <v>572</v>
      </c>
      <c r="C7" t="s">
        <v>573</v>
      </c>
      <c r="D7" t="s">
        <v>35</v>
      </c>
      <c r="E7" t="s">
        <v>50</v>
      </c>
      <c r="F7">
        <v>1945</v>
      </c>
      <c r="S7" t="str">
        <f t="shared" si="0"/>
        <v>INSERT INTO Tab3_TOP10_JoueursFoot VALUES ('6', 'Beckenbauer', 'Franz', 'Défenseur', 'Allemagne', '1945');</v>
      </c>
    </row>
    <row r="8" spans="1:19" x14ac:dyDescent="0.35">
      <c r="A8" s="15">
        <v>7</v>
      </c>
      <c r="B8" t="s">
        <v>566</v>
      </c>
      <c r="C8" t="s">
        <v>567</v>
      </c>
      <c r="D8" t="s">
        <v>25</v>
      </c>
      <c r="E8" t="s">
        <v>36</v>
      </c>
      <c r="F8">
        <v>1947</v>
      </c>
      <c r="S8" t="str">
        <f t="shared" si="0"/>
        <v>INSERT INTO Tab3_TOP10_JoueursFoot VALUES ('7', 'Cruyff', 'Johan', 'Milieu', 'Pays-Bas', '1947');</v>
      </c>
    </row>
    <row r="9" spans="1:19" x14ac:dyDescent="0.35">
      <c r="A9" s="15">
        <v>8</v>
      </c>
      <c r="B9" t="s">
        <v>592</v>
      </c>
      <c r="C9" t="s">
        <v>58</v>
      </c>
      <c r="D9" t="s">
        <v>42</v>
      </c>
      <c r="E9" t="s">
        <v>47</v>
      </c>
      <c r="F9">
        <v>1954</v>
      </c>
      <c r="S9" t="str">
        <f t="shared" si="0"/>
        <v>INSERT INTO Tab3_TOP10_JoueursFoot VALUES ('8', 'Arconada', 'Luis', 'Gardien', 'Espagne', '1954');</v>
      </c>
    </row>
    <row r="10" spans="1:19" x14ac:dyDescent="0.35">
      <c r="A10" s="15">
        <v>9</v>
      </c>
      <c r="B10" t="s">
        <v>575</v>
      </c>
      <c r="C10" t="s">
        <v>576</v>
      </c>
      <c r="D10" t="s">
        <v>25</v>
      </c>
      <c r="E10" t="s">
        <v>17</v>
      </c>
      <c r="F10">
        <v>1955</v>
      </c>
      <c r="S10" t="str">
        <f t="shared" si="0"/>
        <v>INSERT INTO Tab3_TOP10_JoueursFoot VALUES ('9', 'Platini', 'Michel', 'Milieu', 'France', '1955');</v>
      </c>
    </row>
    <row r="11" spans="1:19" x14ac:dyDescent="0.35">
      <c r="A11" s="15">
        <v>10</v>
      </c>
      <c r="B11" t="s">
        <v>564</v>
      </c>
      <c r="C11" t="s">
        <v>565</v>
      </c>
      <c r="D11" t="s">
        <v>7</v>
      </c>
      <c r="E11" t="s">
        <v>8</v>
      </c>
      <c r="F11">
        <v>1960</v>
      </c>
      <c r="S11" t="str">
        <f t="shared" si="0"/>
        <v>INSERT INTO Tab3_TOP10_JoueursFoot VALUES ('10', 'Maradona', 'Diego', 'Attaquant', 'Argentine', '1960');</v>
      </c>
    </row>
    <row r="12" spans="1:19" x14ac:dyDescent="0.35">
      <c r="A12" s="15">
        <v>11</v>
      </c>
      <c r="B12" t="s">
        <v>586</v>
      </c>
      <c r="C12" t="s">
        <v>587</v>
      </c>
      <c r="D12" t="s">
        <v>42</v>
      </c>
      <c r="E12" t="s">
        <v>252</v>
      </c>
      <c r="F12">
        <v>1963</v>
      </c>
      <c r="S12" t="str">
        <f t="shared" si="0"/>
        <v>INSERT INTO Tab3_TOP10_JoueursFoot VALUES ('11', 'Schmeichel', 'Peter', 'Gardien', 'Danemark', '1963');</v>
      </c>
    </row>
    <row r="13" spans="1:19" x14ac:dyDescent="0.35">
      <c r="A13" s="15">
        <v>12</v>
      </c>
      <c r="B13" t="s">
        <v>593</v>
      </c>
      <c r="C13" t="s">
        <v>594</v>
      </c>
      <c r="D13" t="s">
        <v>42</v>
      </c>
      <c r="E13" t="s">
        <v>14</v>
      </c>
      <c r="F13">
        <v>1966</v>
      </c>
      <c r="S13" t="str">
        <f t="shared" si="0"/>
        <v>INSERT INTO Tab3_TOP10_JoueursFoot VALUES ('12', 'Taffarel', 'Cláudio', 'Gardien', 'Brésil', '1966');</v>
      </c>
    </row>
    <row r="14" spans="1:19" x14ac:dyDescent="0.35">
      <c r="A14" s="15">
        <v>13</v>
      </c>
      <c r="B14" t="s">
        <v>588</v>
      </c>
      <c r="C14" t="s">
        <v>589</v>
      </c>
      <c r="D14" t="s">
        <v>42</v>
      </c>
      <c r="E14" t="s">
        <v>50</v>
      </c>
      <c r="F14">
        <v>1969</v>
      </c>
      <c r="S14" t="str">
        <f t="shared" si="0"/>
        <v>INSERT INTO Tab3_TOP10_JoueursFoot VALUES ('13', 'Kahn', 'Oliver', 'Gardien', 'Allemagne', '1969');</v>
      </c>
    </row>
    <row r="15" spans="1:19" x14ac:dyDescent="0.35">
      <c r="A15" s="15">
        <v>14</v>
      </c>
      <c r="B15" t="s">
        <v>568</v>
      </c>
      <c r="C15" t="s">
        <v>569</v>
      </c>
      <c r="D15" t="s">
        <v>25</v>
      </c>
      <c r="E15" t="s">
        <v>17</v>
      </c>
      <c r="F15">
        <v>1972</v>
      </c>
      <c r="S15" t="str">
        <f t="shared" si="0"/>
        <v>INSERT INTO Tab3_TOP10_JoueursFoot VALUES ('14', 'Zidane', 'Zinedine', 'Milieu', 'France', '1972');</v>
      </c>
    </row>
    <row r="16" spans="1:19" x14ac:dyDescent="0.35">
      <c r="A16" s="15">
        <v>15</v>
      </c>
      <c r="B16" t="s">
        <v>9</v>
      </c>
      <c r="C16" t="s">
        <v>574</v>
      </c>
      <c r="D16" t="s">
        <v>7</v>
      </c>
      <c r="E16" t="s">
        <v>14</v>
      </c>
      <c r="F16">
        <v>1976</v>
      </c>
      <c r="S16" t="str">
        <f t="shared" si="0"/>
        <v>INSERT INTO Tab3_TOP10_JoueursFoot VALUES ('15', 'Ronaldo', 'Nazário', 'Attaquant', 'Brésil', '1976');</v>
      </c>
    </row>
    <row r="17" spans="1:19" x14ac:dyDescent="0.35">
      <c r="A17" s="15">
        <v>16</v>
      </c>
      <c r="B17" t="s">
        <v>585</v>
      </c>
      <c r="C17" t="s">
        <v>306</v>
      </c>
      <c r="D17" t="s">
        <v>42</v>
      </c>
      <c r="E17" t="s">
        <v>79</v>
      </c>
      <c r="F17">
        <v>1978</v>
      </c>
      <c r="S17" t="str">
        <f t="shared" si="0"/>
        <v>INSERT INTO Tab3_TOP10_JoueursFoot VALUES ('16', 'Buffon', 'Gianluigi', 'Gardien', 'Italie', '1978');</v>
      </c>
    </row>
    <row r="18" spans="1:19" x14ac:dyDescent="0.35">
      <c r="A18" s="15">
        <v>17</v>
      </c>
      <c r="B18" t="s">
        <v>590</v>
      </c>
      <c r="C18" t="s">
        <v>591</v>
      </c>
      <c r="D18" t="s">
        <v>42</v>
      </c>
      <c r="E18" t="s">
        <v>47</v>
      </c>
      <c r="F18">
        <v>1981</v>
      </c>
      <c r="S18" t="str">
        <f t="shared" si="0"/>
        <v>INSERT INTO Tab3_TOP10_JoueursFoot VALUES ('17', 'Casillas', 'Iker', 'Gardien', 'Espagne', '1981');</v>
      </c>
    </row>
    <row r="19" spans="1:19" x14ac:dyDescent="0.35">
      <c r="A19" s="15">
        <v>18</v>
      </c>
      <c r="B19" t="s">
        <v>9</v>
      </c>
      <c r="C19" t="s">
        <v>10</v>
      </c>
      <c r="D19" t="s">
        <v>7</v>
      </c>
      <c r="E19" t="s">
        <v>11</v>
      </c>
      <c r="F19">
        <v>1985</v>
      </c>
      <c r="S19" t="str">
        <f t="shared" si="0"/>
        <v>INSERT INTO Tab3_TOP10_JoueursFoot VALUES ('18', 'Ronaldo', 'Cristiano', 'Attaquant', 'Portugal', '1985');</v>
      </c>
    </row>
    <row r="20" spans="1:19" x14ac:dyDescent="0.35">
      <c r="A20" s="15">
        <v>19</v>
      </c>
      <c r="B20" t="s">
        <v>66</v>
      </c>
      <c r="C20" t="s">
        <v>67</v>
      </c>
      <c r="D20" t="s">
        <v>42</v>
      </c>
      <c r="E20" t="s">
        <v>50</v>
      </c>
      <c r="F20">
        <v>1986</v>
      </c>
      <c r="S20" t="str">
        <f t="shared" si="0"/>
        <v>INSERT INTO Tab3_TOP10_JoueursFoot VALUES ('19', 'Neuer', 'Manuel', 'Gardien', 'Allemagne', '1986');</v>
      </c>
    </row>
    <row r="21" spans="1:19" x14ac:dyDescent="0.35">
      <c r="A21" s="15">
        <v>20</v>
      </c>
      <c r="B21" t="s">
        <v>5</v>
      </c>
      <c r="C21" t="s">
        <v>6</v>
      </c>
      <c r="D21" t="s">
        <v>7</v>
      </c>
      <c r="E21" t="s">
        <v>8</v>
      </c>
      <c r="F21">
        <v>1987</v>
      </c>
      <c r="S21" t="str">
        <f t="shared" si="0"/>
        <v>INSERT INTO Tab3_TOP10_JoueursFoot VALUES ('20', 'Messi', 'Lionel', 'Attaquant', 'Argentine', '1987');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AE9B-3975-4F70-878B-4BE7BCB65B17}">
  <dimension ref="A1:S53"/>
  <sheetViews>
    <sheetView workbookViewId="0">
      <selection sqref="A1:B1048576"/>
    </sheetView>
  </sheetViews>
  <sheetFormatPr baseColWidth="10" defaultRowHeight="14.5" x14ac:dyDescent="0.35"/>
  <cols>
    <col min="1" max="1" width="12.7265625" customWidth="1"/>
    <col min="2" max="2" width="14.6328125" bestFit="1" customWidth="1"/>
    <col min="3" max="3" width="69.90625" bestFit="1" customWidth="1"/>
    <col min="4" max="18" width="9.6328125" customWidth="1"/>
  </cols>
  <sheetData>
    <row r="1" spans="1:19" x14ac:dyDescent="0.35">
      <c r="A1" s="1" t="s">
        <v>1</v>
      </c>
      <c r="B1" s="1" t="s">
        <v>595</v>
      </c>
      <c r="C1" s="1" t="s">
        <v>1121</v>
      </c>
      <c r="S1" s="32" t="s">
        <v>1405</v>
      </c>
    </row>
    <row r="2" spans="1:19" ht="14.5" customHeight="1" x14ac:dyDescent="0.35">
      <c r="A2" s="2" t="s">
        <v>82</v>
      </c>
      <c r="B2" s="2" t="s">
        <v>83</v>
      </c>
      <c r="C2" s="3" t="s">
        <v>596</v>
      </c>
      <c r="S2" t="str">
        <f t="shared" ref="S2:S33" si="0">CONCATENATE("INSERT INTO Tab4_BlessuresJoueurs VALUES ('",A2,$S$1,B2,$S$1,C2,"');")</f>
        <v>INSERT INTO Tab4_BlessuresJoueurs VALUES ('Rodri', 'Hernández', 'Rupture du ligament croisé du genou ');</v>
      </c>
    </row>
    <row r="3" spans="1:19" ht="14.5" customHeight="1" x14ac:dyDescent="0.35">
      <c r="A3" s="5" t="s">
        <v>227</v>
      </c>
      <c r="B3" s="5" t="s">
        <v>597</v>
      </c>
      <c r="C3" s="6" t="s">
        <v>596</v>
      </c>
      <c r="S3" t="str">
        <f t="shared" si="0"/>
        <v>INSERT INTO Tab4_BlessuresJoueurs VALUES ('Dani', 'Carvajal', 'Rupture du ligament croisé du genou ');</v>
      </c>
    </row>
    <row r="4" spans="1:19" ht="14.5" customHeight="1" x14ac:dyDescent="0.35">
      <c r="A4" s="2" t="s">
        <v>598</v>
      </c>
      <c r="B4" s="2" t="s">
        <v>599</v>
      </c>
      <c r="C4" s="3" t="s">
        <v>596</v>
      </c>
      <c r="S4" t="str">
        <f t="shared" si="0"/>
        <v>INSERT INTO Tab4_BlessuresJoueurs VALUES ('Eder', 'Militão', 'Rupture du ligament croisé du genou ');</v>
      </c>
    </row>
    <row r="5" spans="1:19" ht="14.5" customHeight="1" x14ac:dyDescent="0.35">
      <c r="A5" s="7" t="s">
        <v>600</v>
      </c>
      <c r="B5" s="7" t="s">
        <v>601</v>
      </c>
      <c r="C5" s="8" t="s">
        <v>596</v>
      </c>
      <c r="S5" t="str">
        <f t="shared" si="0"/>
        <v>INSERT INTO Tab4_BlessuresJoueurs VALUES ('Mauro', 'Icardi', 'Rupture du ligament croisé du genou ');</v>
      </c>
    </row>
    <row r="6" spans="1:19" ht="14.5" customHeight="1" x14ac:dyDescent="0.35">
      <c r="A6" s="2" t="s">
        <v>602</v>
      </c>
      <c r="B6" s="2" t="s">
        <v>603</v>
      </c>
      <c r="C6" s="3" t="s">
        <v>596</v>
      </c>
      <c r="S6" t="str">
        <f t="shared" si="0"/>
        <v>INSERT INTO Tab4_BlessuresJoueurs VALUES ('Gianluca', 'Scamacca', 'Rupture du ligament croisé du genou ');</v>
      </c>
    </row>
    <row r="7" spans="1:19" ht="14.5" customHeight="1" x14ac:dyDescent="0.35">
      <c r="A7" s="2" t="s">
        <v>604</v>
      </c>
      <c r="B7" s="2" t="s">
        <v>605</v>
      </c>
      <c r="C7" s="3" t="s">
        <v>596</v>
      </c>
      <c r="S7" t="str">
        <f t="shared" si="0"/>
        <v>INSERT INTO Tab4_BlessuresJoueurs VALUES ('Gleison', 'Bremer', 'Rupture du ligament croisé du genou ');</v>
      </c>
    </row>
    <row r="8" spans="1:19" ht="14.5" customHeight="1" x14ac:dyDescent="0.35">
      <c r="A8" s="2" t="s">
        <v>606</v>
      </c>
      <c r="B8" s="2" t="s">
        <v>607</v>
      </c>
      <c r="C8" s="3" t="s">
        <v>596</v>
      </c>
      <c r="S8" t="str">
        <f t="shared" si="0"/>
        <v>INSERT INTO Tab4_BlessuresJoueurs VALUES ('Alessandro', 'Florenzi', 'Rupture du ligament croisé du genou ');</v>
      </c>
    </row>
    <row r="9" spans="1:19" ht="14.5" customHeight="1" x14ac:dyDescent="0.35">
      <c r="A9" s="2" t="s">
        <v>608</v>
      </c>
      <c r="B9" s="2" t="s">
        <v>609</v>
      </c>
      <c r="C9" s="3" t="s">
        <v>596</v>
      </c>
      <c r="S9" t="str">
        <f t="shared" si="0"/>
        <v>INSERT INTO Tab4_BlessuresJoueurs VALUES ('Sven', 'Botman', 'Rupture du ligament croisé du genou ');</v>
      </c>
    </row>
    <row r="10" spans="1:19" ht="14.5" customHeight="1" x14ac:dyDescent="0.35">
      <c r="A10" s="2" t="s">
        <v>610</v>
      </c>
      <c r="B10" s="2" t="s">
        <v>611</v>
      </c>
      <c r="C10" s="3" t="s">
        <v>596</v>
      </c>
      <c r="S10" t="str">
        <f t="shared" si="0"/>
        <v>INSERT INTO Tab4_BlessuresJoueurs VALUES ('Duván', 'Zapata', 'Rupture du ligament croisé du genou ');</v>
      </c>
    </row>
    <row r="11" spans="1:19" ht="14.5" customHeight="1" x14ac:dyDescent="0.35">
      <c r="A11" s="2" t="s">
        <v>612</v>
      </c>
      <c r="B11" s="2" t="s">
        <v>613</v>
      </c>
      <c r="C11" s="3" t="s">
        <v>614</v>
      </c>
      <c r="S11" t="str">
        <f t="shared" si="0"/>
        <v>INSERT INTO Tab4_BlessuresJoueurs VALUES ('Terem', 'Moffi', 'Rupture du ligament croisé ');</v>
      </c>
    </row>
    <row r="12" spans="1:19" ht="14.5" customHeight="1" x14ac:dyDescent="0.35">
      <c r="A12" s="2" t="s">
        <v>615</v>
      </c>
      <c r="B12" s="2" t="s">
        <v>616</v>
      </c>
      <c r="C12" s="3" t="s">
        <v>614</v>
      </c>
      <c r="S12" t="str">
        <f t="shared" si="0"/>
        <v>INSERT INTO Tab4_BlessuresJoueurs VALUES ('Tiago', 'Santos', 'Rupture du ligament croisé ');</v>
      </c>
    </row>
    <row r="13" spans="1:19" ht="14.5" customHeight="1" x14ac:dyDescent="0.35">
      <c r="A13" s="2" t="s">
        <v>617</v>
      </c>
      <c r="B13" s="2" t="s">
        <v>618</v>
      </c>
      <c r="C13" s="3" t="s">
        <v>619</v>
      </c>
      <c r="S13" t="str">
        <f t="shared" si="0"/>
        <v>INSERT INTO Tab4_BlessuresJoueurs VALUES ('Moïse', 'Sahi Dion', 'Rupture du tendon d'Achille ');</v>
      </c>
    </row>
    <row r="14" spans="1:19" ht="14.5" customHeight="1" x14ac:dyDescent="0.35">
      <c r="A14" s="2" t="s">
        <v>620</v>
      </c>
      <c r="B14" s="2" t="s">
        <v>621</v>
      </c>
      <c r="C14" s="3" t="s">
        <v>622</v>
      </c>
      <c r="S14" t="str">
        <f t="shared" si="0"/>
        <v>INSERT INTO Tab4_BlessuresJoueurs VALUES ('Abdoulaye', 'Touré', 'Côte fracturée ');</v>
      </c>
    </row>
    <row r="15" spans="1:19" ht="14.5" customHeight="1" x14ac:dyDescent="0.35">
      <c r="A15" s="2" t="s">
        <v>623</v>
      </c>
      <c r="B15" s="2" t="s">
        <v>624</v>
      </c>
      <c r="C15" s="3" t="s">
        <v>625</v>
      </c>
      <c r="S15" t="str">
        <f t="shared" si="0"/>
        <v>INSERT INTO Tab4_BlessuresJoueurs VALUES ('Elysée', 'Logbo', 'Blessure de l'épaule ');</v>
      </c>
    </row>
    <row r="16" spans="1:19" ht="14.5" customHeight="1" x14ac:dyDescent="0.35">
      <c r="A16" s="2" t="s">
        <v>626</v>
      </c>
      <c r="B16" s="2" t="s">
        <v>627</v>
      </c>
      <c r="C16" s="3" t="s">
        <v>628</v>
      </c>
      <c r="S16" t="str">
        <f t="shared" si="0"/>
        <v>INSERT INTO Tab4_BlessuresJoueurs VALUES ('Lucas', 'Mincarelli', 'Blessure musculaire ');</v>
      </c>
    </row>
    <row r="17" spans="1:19" ht="14.5" customHeight="1" x14ac:dyDescent="0.35">
      <c r="A17" s="2" t="s">
        <v>629</v>
      </c>
      <c r="B17" s="2" t="s">
        <v>630</v>
      </c>
      <c r="C17" s="3" t="s">
        <v>614</v>
      </c>
      <c r="S17" t="str">
        <f t="shared" si="0"/>
        <v>INSERT INTO Tab4_BlessuresJoueurs VALUES ('Glenn', 'Ngosso', 'Rupture du ligament croisé ');</v>
      </c>
    </row>
    <row r="18" spans="1:19" ht="14.5" customHeight="1" x14ac:dyDescent="0.35">
      <c r="A18" s="2" t="s">
        <v>631</v>
      </c>
      <c r="B18" s="2" t="s">
        <v>632</v>
      </c>
      <c r="C18" s="3" t="s">
        <v>633</v>
      </c>
      <c r="S18" t="str">
        <f t="shared" si="0"/>
        <v>INSERT INTO Tab4_BlessuresJoueurs VALUES ('Tino', 'Kadewere', 'Blessure à la cuisse ');</v>
      </c>
    </row>
    <row r="19" spans="1:19" ht="14.5" customHeight="1" x14ac:dyDescent="0.35">
      <c r="A19" s="2" t="s">
        <v>156</v>
      </c>
      <c r="B19" s="2" t="s">
        <v>634</v>
      </c>
      <c r="C19" s="3" t="s">
        <v>635</v>
      </c>
      <c r="S19" t="str">
        <f t="shared" si="0"/>
        <v>INSERT INTO Tab4_BlessuresJoueurs VALUES ('Samuel', 'Umtiti', 'Opération du genou ');</v>
      </c>
    </row>
    <row r="20" spans="1:19" ht="14.5" customHeight="1" x14ac:dyDescent="0.35">
      <c r="A20" s="2" t="s">
        <v>636</v>
      </c>
      <c r="B20" s="2" t="s">
        <v>637</v>
      </c>
      <c r="C20" s="3" t="s">
        <v>638</v>
      </c>
      <c r="S20" t="str">
        <f t="shared" si="0"/>
        <v>INSERT INTO Tab4_BlessuresJoueurs VALUES ('Nabil', 'Bentaleb', 'Problème de cœur ');</v>
      </c>
    </row>
    <row r="21" spans="1:19" ht="14.5" customHeight="1" x14ac:dyDescent="0.35">
      <c r="A21" s="2" t="s">
        <v>639</v>
      </c>
      <c r="B21" s="2" t="s">
        <v>640</v>
      </c>
      <c r="C21" s="3" t="s">
        <v>641</v>
      </c>
      <c r="S21" t="str">
        <f t="shared" si="0"/>
        <v>INSERT INTO Tab4_BlessuresJoueurs VALUES ('Matias', 'Fernandez-Pardo', 'Déchirure des ligaments de la cheville ');</v>
      </c>
    </row>
    <row r="22" spans="1:19" ht="14.5" customHeight="1" x14ac:dyDescent="0.35">
      <c r="A22" s="2" t="s">
        <v>642</v>
      </c>
      <c r="B22" s="2" t="s">
        <v>643</v>
      </c>
      <c r="C22" s="3" t="s">
        <v>644</v>
      </c>
      <c r="S22" t="str">
        <f t="shared" si="0"/>
        <v>INSERT INTO Tab4_BlessuresJoueurs VALUES ('Daler', 'Kuzyaev', 'Blessure au mollet ');</v>
      </c>
    </row>
    <row r="23" spans="1:19" ht="14.5" customHeight="1" x14ac:dyDescent="0.35">
      <c r="A23" s="2" t="s">
        <v>645</v>
      </c>
      <c r="B23" s="2" t="s">
        <v>646</v>
      </c>
      <c r="C23" s="3" t="s">
        <v>628</v>
      </c>
      <c r="S23" t="str">
        <f t="shared" si="0"/>
        <v>INSERT INTO Tab4_BlessuresJoueurs VALUES ('Sidiki', 'Chérif', 'Blessure musculaire ');</v>
      </c>
    </row>
    <row r="24" spans="1:19" ht="14.5" customHeight="1" x14ac:dyDescent="0.35">
      <c r="A24" s="2" t="s">
        <v>647</v>
      </c>
      <c r="B24" s="2" t="s">
        <v>648</v>
      </c>
      <c r="C24" s="3" t="s">
        <v>649</v>
      </c>
      <c r="S24" t="str">
        <f t="shared" si="0"/>
        <v>INSERT INTO Tab4_BlessuresJoueurs VALUES ('Aïmen', 'Moueffek', 'Maladie ');</v>
      </c>
    </row>
    <row r="25" spans="1:19" ht="14.5" customHeight="1" x14ac:dyDescent="0.35">
      <c r="A25" s="2" t="s">
        <v>650</v>
      </c>
      <c r="B25" s="2" t="s">
        <v>651</v>
      </c>
      <c r="C25" s="3" t="s">
        <v>652</v>
      </c>
      <c r="S25" t="str">
        <f t="shared" si="0"/>
        <v>INSERT INTO Tab4_BlessuresJoueurs VALUES ('Yvann', 'Maçon', 'Blessure au genou ');</v>
      </c>
    </row>
    <row r="26" spans="1:19" ht="14.5" customHeight="1" x14ac:dyDescent="0.35">
      <c r="A26" s="2" t="s">
        <v>240</v>
      </c>
      <c r="B26" s="2" t="s">
        <v>239</v>
      </c>
      <c r="C26" s="3" t="s">
        <v>625</v>
      </c>
      <c r="S26" t="str">
        <f t="shared" si="0"/>
        <v>INSERT INTO Tab4_BlessuresJoueurs VALUES ('Folarin', 'Balogun', 'Blessure de l'épaule ');</v>
      </c>
    </row>
    <row r="27" spans="1:19" ht="14.5" customHeight="1" x14ac:dyDescent="0.35">
      <c r="A27" s="2" t="s">
        <v>653</v>
      </c>
      <c r="B27" s="2" t="s">
        <v>654</v>
      </c>
      <c r="C27" s="3" t="s">
        <v>655</v>
      </c>
      <c r="S27" t="str">
        <f t="shared" si="0"/>
        <v>INSERT INTO Tab4_BlessuresJoueurs VALUES ('Lasso', 'Coulibaly', 'Blessure au ligament croisé ');</v>
      </c>
    </row>
    <row r="28" spans="1:19" ht="14.5" customHeight="1" x14ac:dyDescent="0.35">
      <c r="A28" s="2" t="s">
        <v>656</v>
      </c>
      <c r="B28" s="2" t="s">
        <v>657</v>
      </c>
      <c r="C28" s="3" t="s">
        <v>614</v>
      </c>
      <c r="S28" t="str">
        <f t="shared" si="0"/>
        <v>INSERT INTO Tab4_BlessuresJoueurs VALUES ('Rémy', 'Labeau Lascary', 'Rupture du ligament croisé ');</v>
      </c>
    </row>
    <row r="29" spans="1:19" ht="14.5" customHeight="1" x14ac:dyDescent="0.35">
      <c r="A29" s="2" t="s">
        <v>658</v>
      </c>
      <c r="B29" s="2" t="s">
        <v>659</v>
      </c>
      <c r="C29" s="3" t="s">
        <v>660</v>
      </c>
      <c r="S29" t="str">
        <f t="shared" si="0"/>
        <v>INSERT INTO Tab4_BlessuresJoueurs VALUES ('Nikola', 'Maksimović', 'Blessure à l'ischio ');</v>
      </c>
    </row>
    <row r="30" spans="1:19" ht="14.5" customHeight="1" x14ac:dyDescent="0.35">
      <c r="A30" s="2" t="s">
        <v>661</v>
      </c>
      <c r="B30" s="2" t="s">
        <v>662</v>
      </c>
      <c r="C30" s="3" t="s">
        <v>614</v>
      </c>
      <c r="S30" t="str">
        <f t="shared" si="0"/>
        <v>INSERT INTO Tab4_BlessuresJoueurs VALUES ('Valentín', 'Carboni', 'Rupture du ligament croisé ');</v>
      </c>
    </row>
    <row r="31" spans="1:19" ht="14.5" customHeight="1" x14ac:dyDescent="0.35">
      <c r="A31" s="2" t="s">
        <v>663</v>
      </c>
      <c r="B31" s="2" t="s">
        <v>664</v>
      </c>
      <c r="C31" s="3" t="s">
        <v>655</v>
      </c>
      <c r="S31" t="str">
        <f t="shared" si="0"/>
        <v>INSERT INTO Tab4_BlessuresJoueurs VALUES ('Nathan', 'Buayi-Kiala', 'Blessure au ligament croisé ');</v>
      </c>
    </row>
    <row r="32" spans="1:19" ht="14.5" customHeight="1" x14ac:dyDescent="0.35">
      <c r="A32" s="2" t="s">
        <v>181</v>
      </c>
      <c r="B32" s="2" t="s">
        <v>665</v>
      </c>
      <c r="C32" s="3" t="s">
        <v>677</v>
      </c>
      <c r="S32" t="str">
        <f t="shared" si="0"/>
        <v>INSERT INTO Tab4_BlessuresJoueurs VALUES ('Gabriel', 'Jesús', 'Rupture du ligament croisé antérieur du genou');</v>
      </c>
    </row>
    <row r="33" spans="1:19" ht="14.5" customHeight="1" x14ac:dyDescent="0.35">
      <c r="A33" s="2" t="s">
        <v>138</v>
      </c>
      <c r="B33" s="2" t="s">
        <v>137</v>
      </c>
      <c r="C33" s="3" t="s">
        <v>678</v>
      </c>
      <c r="S33" t="str">
        <f t="shared" si="0"/>
        <v>INSERT INTO Tab4_BlessuresJoueurs VALUES ('Raphaël', 'Varane', 'Blessures récurrentes au genou');</v>
      </c>
    </row>
    <row r="34" spans="1:19" ht="14.5" customHeight="1" x14ac:dyDescent="0.35">
      <c r="A34" s="2" t="s">
        <v>666</v>
      </c>
      <c r="B34" s="2" t="s">
        <v>667</v>
      </c>
      <c r="C34" s="3" t="s">
        <v>679</v>
      </c>
      <c r="S34" t="str">
        <f t="shared" ref="S34:S53" si="1">CONCATENATE("INSERT INTO Tab4_BlessuresJoueurs VALUES ('",A34,$S$1,B34,$S$1,C34,"');")</f>
        <v>INSERT INTO Tab4_BlessuresJoueurs VALUES ('José', 'Gragera', 'Hallux rigidus nécessitant une intervention chirurgicale');</v>
      </c>
    </row>
    <row r="35" spans="1:19" ht="14.5" customHeight="1" x14ac:dyDescent="0.35">
      <c r="A35" s="2" t="s">
        <v>668</v>
      </c>
      <c r="B35" s="2" t="s">
        <v>669</v>
      </c>
      <c r="C35" s="3" t="s">
        <v>680</v>
      </c>
      <c r="S35" t="str">
        <f t="shared" si="1"/>
        <v>INSERT INTO Tab4_BlessuresJoueurs VALUES ('José Luis', 'Catalá', 'Rupture du ligament croisé antérieur et lésion du ménisque externe de la rodilla droite');</v>
      </c>
    </row>
    <row r="36" spans="1:19" ht="14.5" customHeight="1" x14ac:dyDescent="0.35">
      <c r="A36" s="2" t="s">
        <v>304</v>
      </c>
      <c r="B36" s="2" t="s">
        <v>670</v>
      </c>
      <c r="C36" s="3" t="s">
        <v>681</v>
      </c>
      <c r="S36" t="str">
        <f t="shared" si="1"/>
        <v>INSERT INTO Tab4_BlessuresJoueurs VALUES ('Marc-André', 'ter Stegen', 'Blessure grave non spécifiée');</v>
      </c>
    </row>
    <row r="37" spans="1:19" ht="14.5" customHeight="1" x14ac:dyDescent="0.35">
      <c r="A37" s="2" t="s">
        <v>82</v>
      </c>
      <c r="B37" s="2" t="s">
        <v>83</v>
      </c>
      <c r="C37" s="3" t="s">
        <v>681</v>
      </c>
      <c r="S37" t="str">
        <f t="shared" si="1"/>
        <v>INSERT INTO Tab4_BlessuresJoueurs VALUES ('Rodri', 'Hernández', 'Blessure grave non spécifiée');</v>
      </c>
    </row>
    <row r="38" spans="1:19" ht="14.5" customHeight="1" x14ac:dyDescent="0.35">
      <c r="A38" s="5" t="s">
        <v>227</v>
      </c>
      <c r="B38" s="5" t="s">
        <v>597</v>
      </c>
      <c r="C38" s="6" t="s">
        <v>671</v>
      </c>
      <c r="S38" t="str">
        <f t="shared" si="1"/>
        <v>INSERT INTO Tab4_BlessuresJoueurs VALUES ('Dani', 'Carvajal', 'Rupture des ligaments croisés du genou');</v>
      </c>
    </row>
    <row r="39" spans="1:19" ht="14.5" customHeight="1" x14ac:dyDescent="0.35">
      <c r="A39" s="2" t="s">
        <v>598</v>
      </c>
      <c r="B39" s="2" t="s">
        <v>599</v>
      </c>
      <c r="C39" s="3" t="s">
        <v>671</v>
      </c>
      <c r="S39" t="str">
        <f t="shared" si="1"/>
        <v>INSERT INTO Tab4_BlessuresJoueurs VALUES ('Eder', 'Militão', 'Rupture des ligaments croisés du genou');</v>
      </c>
    </row>
    <row r="40" spans="1:19" ht="14.5" customHeight="1" x14ac:dyDescent="0.35">
      <c r="A40" s="7" t="s">
        <v>600</v>
      </c>
      <c r="B40" s="7" t="s">
        <v>601</v>
      </c>
      <c r="C40" s="8" t="s">
        <v>671</v>
      </c>
      <c r="S40" t="str">
        <f t="shared" si="1"/>
        <v>INSERT INTO Tab4_BlessuresJoueurs VALUES ('Mauro', 'Icardi', 'Rupture des ligaments croisés du genou');</v>
      </c>
    </row>
    <row r="41" spans="1:19" ht="14.5" customHeight="1" x14ac:dyDescent="0.35">
      <c r="A41" s="2" t="s">
        <v>602</v>
      </c>
      <c r="B41" s="2" t="s">
        <v>603</v>
      </c>
      <c r="C41" s="3" t="s">
        <v>671</v>
      </c>
      <c r="S41" t="str">
        <f t="shared" si="1"/>
        <v>INSERT INTO Tab4_BlessuresJoueurs VALUES ('Gianluca', 'Scamacca', 'Rupture des ligaments croisés du genou');</v>
      </c>
    </row>
    <row r="42" spans="1:19" ht="14.5" customHeight="1" x14ac:dyDescent="0.35">
      <c r="A42" s="2" t="s">
        <v>604</v>
      </c>
      <c r="B42" s="2" t="s">
        <v>605</v>
      </c>
      <c r="C42" s="3" t="s">
        <v>671</v>
      </c>
      <c r="S42" t="str">
        <f t="shared" si="1"/>
        <v>INSERT INTO Tab4_BlessuresJoueurs VALUES ('Gleison', 'Bremer', 'Rupture des ligaments croisés du genou');</v>
      </c>
    </row>
    <row r="43" spans="1:19" ht="14.5" customHeight="1" x14ac:dyDescent="0.35">
      <c r="A43" s="2" t="s">
        <v>606</v>
      </c>
      <c r="B43" s="2" t="s">
        <v>607</v>
      </c>
      <c r="C43" s="3" t="s">
        <v>671</v>
      </c>
      <c r="S43" t="str">
        <f t="shared" si="1"/>
        <v>INSERT INTO Tab4_BlessuresJoueurs VALUES ('Alessandro', 'Florenzi', 'Rupture des ligaments croisés du genou');</v>
      </c>
    </row>
    <row r="44" spans="1:19" ht="14.5" customHeight="1" x14ac:dyDescent="0.35">
      <c r="A44" s="2" t="s">
        <v>608</v>
      </c>
      <c r="B44" s="2" t="s">
        <v>609</v>
      </c>
      <c r="C44" s="3" t="s">
        <v>671</v>
      </c>
      <c r="S44" t="str">
        <f t="shared" si="1"/>
        <v>INSERT INTO Tab4_BlessuresJoueurs VALUES ('Sven', 'Botman', 'Rupture des ligaments croisés du genou');</v>
      </c>
    </row>
    <row r="45" spans="1:19" ht="14.5" customHeight="1" x14ac:dyDescent="0.35">
      <c r="A45" s="2" t="s">
        <v>610</v>
      </c>
      <c r="B45" s="2" t="s">
        <v>611</v>
      </c>
      <c r="C45" s="3" t="s">
        <v>671</v>
      </c>
      <c r="S45" t="str">
        <f t="shared" si="1"/>
        <v>INSERT INTO Tab4_BlessuresJoueurs VALUES ('Duván', 'Zapata', 'Rupture des ligaments croisés du genou');</v>
      </c>
    </row>
    <row r="46" spans="1:19" x14ac:dyDescent="0.35">
      <c r="A46" s="2" t="s">
        <v>612</v>
      </c>
      <c r="B46" s="2" t="s">
        <v>613</v>
      </c>
      <c r="C46" s="3" t="s">
        <v>671</v>
      </c>
      <c r="S46" t="str">
        <f t="shared" si="1"/>
        <v>INSERT INTO Tab4_BlessuresJoueurs VALUES ('Terem', 'Moffi', 'Rupture des ligaments croisés du genou');</v>
      </c>
    </row>
    <row r="47" spans="1:19" x14ac:dyDescent="0.35">
      <c r="A47" s="2" t="s">
        <v>615</v>
      </c>
      <c r="B47" s="2" t="s">
        <v>616</v>
      </c>
      <c r="C47" s="3" t="s">
        <v>671</v>
      </c>
      <c r="S47" t="str">
        <f t="shared" si="1"/>
        <v>INSERT INTO Tab4_BlessuresJoueurs VALUES ('Tiago', 'Santos', 'Rupture des ligaments croisés du genou');</v>
      </c>
    </row>
    <row r="48" spans="1:19" x14ac:dyDescent="0.35">
      <c r="A48" s="2" t="s">
        <v>617</v>
      </c>
      <c r="B48" s="2" t="s">
        <v>618</v>
      </c>
      <c r="C48" s="3" t="s">
        <v>672</v>
      </c>
      <c r="S48" t="str">
        <f t="shared" si="1"/>
        <v>INSERT INTO Tab4_BlessuresJoueurs VALUES ('Moïse', 'Sahi Dion', 'Rupture du tendon d'Achille');</v>
      </c>
    </row>
    <row r="49" spans="1:19" x14ac:dyDescent="0.35">
      <c r="A49" s="2" t="s">
        <v>620</v>
      </c>
      <c r="B49" s="2" t="s">
        <v>621</v>
      </c>
      <c r="C49" s="3" t="s">
        <v>673</v>
      </c>
      <c r="S49" t="str">
        <f t="shared" si="1"/>
        <v>INSERT INTO Tab4_BlessuresJoueurs VALUES ('Abdoulaye', 'Touré', 'Côte fracturée');</v>
      </c>
    </row>
    <row r="50" spans="1:19" x14ac:dyDescent="0.35">
      <c r="A50" s="2" t="s">
        <v>623</v>
      </c>
      <c r="B50" s="2" t="s">
        <v>624</v>
      </c>
      <c r="C50" s="3" t="s">
        <v>674</v>
      </c>
      <c r="S50" t="str">
        <f t="shared" si="1"/>
        <v>INSERT INTO Tab4_BlessuresJoueurs VALUES ('Elysée', 'Logbo', 'Blessure de l'épaule');</v>
      </c>
    </row>
    <row r="51" spans="1:19" x14ac:dyDescent="0.35">
      <c r="A51" s="2" t="s">
        <v>626</v>
      </c>
      <c r="B51" s="2" t="s">
        <v>627</v>
      </c>
      <c r="C51" s="3" t="s">
        <v>675</v>
      </c>
      <c r="S51" t="str">
        <f t="shared" si="1"/>
        <v>INSERT INTO Tab4_BlessuresJoueurs VALUES ('Lucas', 'Mincarelli', 'Blessure musculaire');</v>
      </c>
    </row>
    <row r="52" spans="1:19" x14ac:dyDescent="0.35">
      <c r="A52" s="2" t="s">
        <v>629</v>
      </c>
      <c r="B52" s="2" t="s">
        <v>630</v>
      </c>
      <c r="C52" s="3" t="s">
        <v>671</v>
      </c>
      <c r="S52" t="str">
        <f t="shared" si="1"/>
        <v>INSERT INTO Tab4_BlessuresJoueurs VALUES ('Glenn', 'Ngosso', 'Rupture des ligaments croisés du genou');</v>
      </c>
    </row>
    <row r="53" spans="1:19" x14ac:dyDescent="0.35">
      <c r="A53" s="2" t="s">
        <v>631</v>
      </c>
      <c r="B53" s="2" t="s">
        <v>632</v>
      </c>
      <c r="C53" s="3" t="s">
        <v>676</v>
      </c>
      <c r="S53" t="str">
        <f t="shared" si="1"/>
        <v>INSERT INTO Tab4_BlessuresJoueurs VALUES ('Tino', 'Kadewere', 'Blessure à la cuisse');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CFF5-01E9-4AE2-AD53-71CEC959D91E}">
  <dimension ref="A1:S31"/>
  <sheetViews>
    <sheetView workbookViewId="0"/>
  </sheetViews>
  <sheetFormatPr baseColWidth="10" defaultColWidth="8.7265625" defaultRowHeight="14.5" x14ac:dyDescent="0.35"/>
  <cols>
    <col min="1" max="1" width="20.1796875" bestFit="1" customWidth="1"/>
    <col min="2" max="2" width="10.7265625" bestFit="1" customWidth="1"/>
    <col min="3" max="3" width="8.81640625" bestFit="1" customWidth="1"/>
    <col min="4" max="4" width="17" customWidth="1"/>
    <col min="5" max="6" width="7.1796875" customWidth="1"/>
    <col min="7" max="7" width="11.90625" customWidth="1"/>
    <col min="8" max="18" width="9.6328125" customWidth="1"/>
  </cols>
  <sheetData>
    <row r="1" spans="1:19" x14ac:dyDescent="0.35">
      <c r="A1" s="18" t="s">
        <v>907</v>
      </c>
      <c r="B1" s="18" t="s">
        <v>908</v>
      </c>
      <c r="C1" s="18" t="s">
        <v>505</v>
      </c>
      <c r="D1" s="18" t="s">
        <v>909</v>
      </c>
      <c r="E1" s="18" t="s">
        <v>910</v>
      </c>
      <c r="F1" s="18" t="s">
        <v>911</v>
      </c>
      <c r="G1" s="18" t="s">
        <v>1083</v>
      </c>
      <c r="S1" s="32" t="s">
        <v>1405</v>
      </c>
    </row>
    <row r="2" spans="1:19" x14ac:dyDescent="0.35">
      <c r="A2" t="s">
        <v>912</v>
      </c>
      <c r="B2" t="s">
        <v>913</v>
      </c>
      <c r="C2" t="s">
        <v>914</v>
      </c>
      <c r="D2" t="s">
        <v>915</v>
      </c>
      <c r="E2">
        <v>200</v>
      </c>
      <c r="F2">
        <v>120</v>
      </c>
      <c r="G2" s="17">
        <v>32619</v>
      </c>
      <c r="S2" t="str">
        <f t="shared" ref="S2:S31" si="0">CONCATENATE("INSERT INTO Tab5_JoueusesFoot VALUES ('",A2,$S$1,B2,$S$1,C2,$S$1,D2,$S$1,E2,$S$1,F2,$S$1,TEXT(G2,"jj/mm/aaaa"),"');")</f>
        <v>INSERT INTO Tab5_JoueusesFoot VALUES ('Alex Morgan', 'USA', 'Forward', 'San Diego Wave', '200', '120', '21/04/1989');</v>
      </c>
    </row>
    <row r="3" spans="1:19" x14ac:dyDescent="0.35">
      <c r="A3" t="s">
        <v>916</v>
      </c>
      <c r="B3" t="s">
        <v>913</v>
      </c>
      <c r="C3" t="s">
        <v>917</v>
      </c>
      <c r="D3" t="s">
        <v>918</v>
      </c>
      <c r="E3">
        <v>185</v>
      </c>
      <c r="F3">
        <v>75</v>
      </c>
      <c r="G3" s="17">
        <v>31317</v>
      </c>
      <c r="S3" t="str">
        <f t="shared" si="0"/>
        <v>INSERT INTO Tab5_JoueusesFoot VALUES ('Megan Rapinoe', 'USA', 'Winger', 'OL Reign', '185', '75', '27/09/1985');</v>
      </c>
    </row>
    <row r="4" spans="1:19" x14ac:dyDescent="0.35">
      <c r="A4" t="s">
        <v>919</v>
      </c>
      <c r="B4" t="s">
        <v>920</v>
      </c>
      <c r="C4" t="s">
        <v>914</v>
      </c>
      <c r="D4" t="s">
        <v>921</v>
      </c>
      <c r="E4">
        <v>150</v>
      </c>
      <c r="F4">
        <v>110</v>
      </c>
      <c r="G4" s="17">
        <v>34227</v>
      </c>
      <c r="S4" t="str">
        <f t="shared" si="0"/>
        <v>INSERT INTO Tab5_JoueusesFoot VALUES ('Sam Kerr', 'Australia', 'Forward', 'Chelsea', '150', '110', '15/09/1993');</v>
      </c>
    </row>
    <row r="5" spans="1:19" x14ac:dyDescent="0.35">
      <c r="A5" t="s">
        <v>922</v>
      </c>
      <c r="B5" t="s">
        <v>489</v>
      </c>
      <c r="C5" t="s">
        <v>923</v>
      </c>
      <c r="D5" t="s">
        <v>924</v>
      </c>
      <c r="E5">
        <v>130</v>
      </c>
      <c r="F5">
        <v>12</v>
      </c>
      <c r="G5" s="17">
        <v>33517</v>
      </c>
      <c r="S5" t="str">
        <f t="shared" si="0"/>
        <v>INSERT INTO Tab5_JoueusesFoot VALUES ('Lucy Bronze', 'England', 'Defender', 'Barcelona', '130', '12', '06/10/1991');</v>
      </c>
    </row>
    <row r="6" spans="1:19" x14ac:dyDescent="0.35">
      <c r="A6" t="s">
        <v>925</v>
      </c>
      <c r="B6" t="s">
        <v>17</v>
      </c>
      <c r="C6" t="s">
        <v>926</v>
      </c>
      <c r="D6" t="s">
        <v>927</v>
      </c>
      <c r="E6">
        <v>150</v>
      </c>
      <c r="F6">
        <v>25</v>
      </c>
      <c r="G6" s="17">
        <v>32857</v>
      </c>
      <c r="S6" t="str">
        <f t="shared" si="0"/>
        <v>INSERT INTO Tab5_JoueusesFoot VALUES ('Amandine Henry', 'France', 'Midfielder', 'Olympique Lyonnais', '150', '25', '15/12/1989');</v>
      </c>
    </row>
    <row r="7" spans="1:19" x14ac:dyDescent="0.35">
      <c r="A7" t="s">
        <v>928</v>
      </c>
      <c r="B7" t="s">
        <v>492</v>
      </c>
      <c r="C7" t="s">
        <v>914</v>
      </c>
      <c r="D7" t="s">
        <v>929</v>
      </c>
      <c r="E7">
        <v>180</v>
      </c>
      <c r="F7">
        <v>112</v>
      </c>
      <c r="G7" s="17">
        <v>31448</v>
      </c>
      <c r="S7" t="str">
        <f t="shared" si="0"/>
        <v>INSERT INTO Tab5_JoueusesFoot VALUES ('Marta Vieira da Silva', 'Brazil', 'Forward', 'Orlando Pride', '180', '112', '05/02/1986');</v>
      </c>
    </row>
    <row r="8" spans="1:19" x14ac:dyDescent="0.35">
      <c r="A8" t="s">
        <v>930</v>
      </c>
      <c r="B8" t="s">
        <v>275</v>
      </c>
      <c r="C8" t="s">
        <v>914</v>
      </c>
      <c r="D8" t="s">
        <v>931</v>
      </c>
      <c r="E8">
        <v>300</v>
      </c>
      <c r="F8">
        <v>190</v>
      </c>
      <c r="G8" s="17">
        <v>30335</v>
      </c>
      <c r="S8" t="str">
        <f t="shared" si="0"/>
        <v>INSERT INTO Tab5_JoueusesFoot VALUES ('Christine Sinclair', 'Canada', 'Forward', 'Portland Thorns', '300', '190', '19/01/1983');</v>
      </c>
    </row>
    <row r="9" spans="1:19" x14ac:dyDescent="0.35">
      <c r="A9" t="s">
        <v>932</v>
      </c>
      <c r="B9" t="s">
        <v>933</v>
      </c>
      <c r="C9" t="s">
        <v>914</v>
      </c>
      <c r="D9" t="s">
        <v>934</v>
      </c>
      <c r="E9">
        <v>110</v>
      </c>
      <c r="F9">
        <v>90</v>
      </c>
      <c r="G9" s="17">
        <v>35221</v>
      </c>
      <c r="S9" t="str">
        <f t="shared" si="0"/>
        <v>INSERT INTO Tab5_JoueusesFoot VALUES ('Vivianne Miedema', 'Netherlands', 'Forward', 'Arsenal', '110', '90', '05/06/1996');</v>
      </c>
    </row>
    <row r="10" spans="1:19" x14ac:dyDescent="0.35">
      <c r="A10" t="s">
        <v>935</v>
      </c>
      <c r="B10" t="s">
        <v>489</v>
      </c>
      <c r="C10" t="s">
        <v>926</v>
      </c>
      <c r="D10" t="s">
        <v>921</v>
      </c>
      <c r="E10">
        <v>80</v>
      </c>
      <c r="F10">
        <v>50</v>
      </c>
      <c r="G10" s="17">
        <v>34249</v>
      </c>
      <c r="S10" t="str">
        <f t="shared" si="0"/>
        <v>INSERT INTO Tab5_JoueusesFoot VALUES ('Fran Kirby', 'England', 'Midfielder', 'Chelsea', '80', '50', '07/10/1993');</v>
      </c>
    </row>
    <row r="11" spans="1:19" x14ac:dyDescent="0.35">
      <c r="A11" t="s">
        <v>936</v>
      </c>
      <c r="B11" t="s">
        <v>937</v>
      </c>
      <c r="C11" t="s">
        <v>914</v>
      </c>
      <c r="D11" t="s">
        <v>927</v>
      </c>
      <c r="E11">
        <v>85</v>
      </c>
      <c r="F11">
        <v>55</v>
      </c>
      <c r="G11" s="17">
        <v>34955</v>
      </c>
      <c r="S11" t="str">
        <f t="shared" si="0"/>
        <v>INSERT INTO Tab5_JoueusesFoot VALUES ('Ada Hegerberg', 'Norway', 'Forward', 'Olympique Lyonnais', '85', '55', '13/09/1995');</v>
      </c>
    </row>
    <row r="12" spans="1:19" x14ac:dyDescent="0.35">
      <c r="A12" t="s">
        <v>938</v>
      </c>
      <c r="B12" t="s">
        <v>488</v>
      </c>
      <c r="C12" t="s">
        <v>926</v>
      </c>
      <c r="D12" t="s">
        <v>918</v>
      </c>
      <c r="E12">
        <v>115</v>
      </c>
      <c r="F12">
        <v>30</v>
      </c>
      <c r="G12" s="17">
        <v>33940</v>
      </c>
      <c r="S12" t="str">
        <f t="shared" si="0"/>
        <v>INSERT INTO Tab5_JoueusesFoot VALUES ('Dzsenifer Marozsán', 'Germany', 'Midfielder', 'OL Reign', '115', '30', '02/12/1992');</v>
      </c>
    </row>
    <row r="13" spans="1:19" x14ac:dyDescent="0.35">
      <c r="A13" t="s">
        <v>939</v>
      </c>
      <c r="B13" t="s">
        <v>17</v>
      </c>
      <c r="C13" t="s">
        <v>923</v>
      </c>
      <c r="D13" t="s">
        <v>927</v>
      </c>
      <c r="E13">
        <v>140</v>
      </c>
      <c r="F13">
        <v>25</v>
      </c>
      <c r="G13" s="17">
        <v>33209</v>
      </c>
      <c r="S13" t="str">
        <f t="shared" si="0"/>
        <v>INSERT INTO Tab5_JoueusesFoot VALUES ('Wendie Renard', 'France', 'Defender', 'Olympique Lyonnais', '140', '25', '02/12/1990');</v>
      </c>
    </row>
    <row r="14" spans="1:19" x14ac:dyDescent="0.35">
      <c r="A14" t="s">
        <v>940</v>
      </c>
      <c r="B14" t="s">
        <v>913</v>
      </c>
      <c r="C14" t="s">
        <v>926</v>
      </c>
      <c r="D14" t="s">
        <v>941</v>
      </c>
      <c r="E14">
        <v>120</v>
      </c>
      <c r="F14">
        <v>20</v>
      </c>
      <c r="G14" s="17">
        <v>33861</v>
      </c>
      <c r="S14" t="str">
        <f t="shared" si="0"/>
        <v>INSERT INTO Tab5_JoueusesFoot VALUES ('Julie Ertz', 'USA', 'Midfielder', 'Chicago Red Stars', '120', '20', '14/09/1992');</v>
      </c>
    </row>
    <row r="15" spans="1:19" x14ac:dyDescent="0.35">
      <c r="A15" t="s">
        <v>942</v>
      </c>
      <c r="B15" t="s">
        <v>913</v>
      </c>
      <c r="C15" t="s">
        <v>926</v>
      </c>
      <c r="D15" t="s">
        <v>943</v>
      </c>
      <c r="E15">
        <v>310</v>
      </c>
      <c r="F15">
        <v>130</v>
      </c>
      <c r="G15" s="17">
        <v>30033</v>
      </c>
      <c r="S15" t="str">
        <f t="shared" si="0"/>
        <v>INSERT INTO Tab5_JoueusesFoot VALUES ('Carli Lloyd', 'USA', 'Midfielder', 'NJ/NY Gotham FC', '310', '130', '23/03/1982');</v>
      </c>
    </row>
    <row r="16" spans="1:19" x14ac:dyDescent="0.35">
      <c r="A16" t="s">
        <v>944</v>
      </c>
      <c r="B16" t="s">
        <v>913</v>
      </c>
      <c r="C16" t="s">
        <v>917</v>
      </c>
      <c r="D16" t="s">
        <v>945</v>
      </c>
      <c r="E16">
        <v>190</v>
      </c>
      <c r="F16">
        <v>65</v>
      </c>
      <c r="G16" s="17">
        <v>32334</v>
      </c>
      <c r="S16" t="str">
        <f t="shared" si="0"/>
        <v>INSERT INTO Tab5_JoueusesFoot VALUES ('Tobin Heath', 'USA', 'Winger', 'Racing Louisville', '190', '65', '10/07/1988');</v>
      </c>
    </row>
    <row r="17" spans="1:19" x14ac:dyDescent="0.35">
      <c r="A17" t="s">
        <v>946</v>
      </c>
      <c r="B17" t="s">
        <v>913</v>
      </c>
      <c r="C17" t="s">
        <v>926</v>
      </c>
      <c r="D17" t="s">
        <v>918</v>
      </c>
      <c r="E17">
        <v>95</v>
      </c>
      <c r="F17">
        <v>25</v>
      </c>
      <c r="G17" s="17">
        <v>34939</v>
      </c>
      <c r="S17" t="str">
        <f t="shared" si="0"/>
        <v>INSERT INTO Tab5_JoueusesFoot VALUES ('Rose Lavelle', 'USA', 'Midfielder', 'OL Reign', '95', '25', '28/08/1995');</v>
      </c>
    </row>
    <row r="18" spans="1:19" x14ac:dyDescent="0.35">
      <c r="A18" t="s">
        <v>947</v>
      </c>
      <c r="B18" t="s">
        <v>948</v>
      </c>
      <c r="C18" t="s">
        <v>914</v>
      </c>
      <c r="D18" t="s">
        <v>949</v>
      </c>
      <c r="E18">
        <v>150</v>
      </c>
      <c r="F18">
        <v>105</v>
      </c>
      <c r="G18" s="17">
        <v>33844</v>
      </c>
      <c r="S18" t="str">
        <f t="shared" si="0"/>
        <v>INSERT INTO Tab5_JoueusesFoot VALUES ('Pernille Harder', 'Denmark', 'Forward', 'Bayern Munich', '150', '105', '28/08/1992');</v>
      </c>
    </row>
    <row r="19" spans="1:19" x14ac:dyDescent="0.35">
      <c r="A19" t="s">
        <v>950</v>
      </c>
      <c r="B19" t="s">
        <v>933</v>
      </c>
      <c r="C19" t="s">
        <v>926</v>
      </c>
      <c r="D19" t="s">
        <v>924</v>
      </c>
      <c r="E19">
        <v>115</v>
      </c>
      <c r="F19">
        <v>60</v>
      </c>
      <c r="G19" s="17">
        <v>34027</v>
      </c>
      <c r="S19" t="str">
        <f t="shared" si="0"/>
        <v>INSERT INTO Tab5_JoueusesFoot VALUES ('Lieke Martens', 'Netherlands', 'Midfielder', 'Barcelona', '115', '60', '27/02/1993');</v>
      </c>
    </row>
    <row r="20" spans="1:19" x14ac:dyDescent="0.35">
      <c r="A20" t="s">
        <v>951</v>
      </c>
      <c r="B20" t="s">
        <v>952</v>
      </c>
      <c r="C20" t="s">
        <v>923</v>
      </c>
      <c r="D20" t="s">
        <v>949</v>
      </c>
      <c r="E20">
        <v>120</v>
      </c>
      <c r="F20">
        <v>10</v>
      </c>
      <c r="G20" s="17">
        <v>33178</v>
      </c>
      <c r="S20" t="str">
        <f t="shared" si="0"/>
        <v>INSERT INTO Tab5_JoueusesFoot VALUES ('Saki Kumagai', 'Japan', 'Defender', 'Bayern Munich', '120', '10', '01/11/1990');</v>
      </c>
    </row>
    <row r="21" spans="1:19" x14ac:dyDescent="0.35">
      <c r="A21" t="s">
        <v>953</v>
      </c>
      <c r="B21" t="s">
        <v>954</v>
      </c>
      <c r="C21" t="s">
        <v>926</v>
      </c>
      <c r="D21" t="s">
        <v>921</v>
      </c>
      <c r="E21">
        <v>145</v>
      </c>
      <c r="F21">
        <v>40</v>
      </c>
      <c r="G21" s="17">
        <v>33524</v>
      </c>
      <c r="S21" t="str">
        <f t="shared" si="0"/>
        <v>INSERT INTO Tab5_JoueusesFoot VALUES ('Ji So-yun', 'South Korea', 'Midfielder', 'Chelsea', '145', '40', '13/10/1991');</v>
      </c>
    </row>
    <row r="22" spans="1:19" x14ac:dyDescent="0.35">
      <c r="A22" t="s">
        <v>955</v>
      </c>
      <c r="B22" t="s">
        <v>275</v>
      </c>
      <c r="C22" t="s">
        <v>923</v>
      </c>
      <c r="D22" t="s">
        <v>921</v>
      </c>
      <c r="E22">
        <v>135</v>
      </c>
      <c r="F22">
        <v>10</v>
      </c>
      <c r="G22" s="17">
        <v>35039</v>
      </c>
      <c r="S22" t="str">
        <f t="shared" si="0"/>
        <v>INSERT INTO Tab5_JoueusesFoot VALUES ('Kadeisha Buchanan', 'Canada', 'Defender', 'Chelsea', '135', '10', '06/12/1995');</v>
      </c>
    </row>
    <row r="23" spans="1:19" x14ac:dyDescent="0.35">
      <c r="A23" t="s">
        <v>956</v>
      </c>
      <c r="B23" t="s">
        <v>957</v>
      </c>
      <c r="C23" t="s">
        <v>926</v>
      </c>
      <c r="D23" t="s">
        <v>924</v>
      </c>
      <c r="E23">
        <v>125</v>
      </c>
      <c r="F23">
        <v>80</v>
      </c>
      <c r="G23" s="17">
        <v>34486</v>
      </c>
      <c r="S23" t="str">
        <f t="shared" si="0"/>
        <v>INSERT INTO Tab5_JoueusesFoot VALUES ('Alexia Putellas', 'Spain', 'Midfielder', 'Barcelona', '125', '80', '01/06/1994');</v>
      </c>
    </row>
    <row r="24" spans="1:19" x14ac:dyDescent="0.35">
      <c r="A24" t="s">
        <v>958</v>
      </c>
      <c r="B24" t="s">
        <v>957</v>
      </c>
      <c r="C24" t="s">
        <v>923</v>
      </c>
      <c r="D24" t="s">
        <v>924</v>
      </c>
      <c r="E24">
        <v>118</v>
      </c>
      <c r="F24">
        <v>15</v>
      </c>
      <c r="G24" s="17">
        <v>33455</v>
      </c>
      <c r="S24" t="str">
        <f t="shared" si="0"/>
        <v>INSERT INTO Tab5_JoueusesFoot VALUES ('Irene Paredes', 'Spain', 'Defender', 'Barcelona', '118', '15', '05/08/1991');</v>
      </c>
    </row>
    <row r="25" spans="1:19" x14ac:dyDescent="0.35">
      <c r="A25" t="s">
        <v>959</v>
      </c>
      <c r="B25" t="s">
        <v>957</v>
      </c>
      <c r="C25" t="s">
        <v>926</v>
      </c>
      <c r="D25" t="s">
        <v>924</v>
      </c>
      <c r="E25">
        <v>90</v>
      </c>
      <c r="F25">
        <v>20</v>
      </c>
      <c r="G25" s="17">
        <v>35961</v>
      </c>
      <c r="S25" t="str">
        <f t="shared" si="0"/>
        <v>INSERT INTO Tab5_JoueusesFoot VALUES ('Patri Guijarro', 'Spain', 'Midfielder', 'Barcelona', '90', '20', '15/06/1998');</v>
      </c>
    </row>
    <row r="26" spans="1:19" x14ac:dyDescent="0.35">
      <c r="A26" t="s">
        <v>960</v>
      </c>
      <c r="B26" t="s">
        <v>17</v>
      </c>
      <c r="C26" t="s">
        <v>914</v>
      </c>
      <c r="D26" t="s">
        <v>961</v>
      </c>
      <c r="E26">
        <v>100</v>
      </c>
      <c r="F26">
        <v>70</v>
      </c>
      <c r="G26" s="17">
        <v>35960</v>
      </c>
      <c r="S26" t="str">
        <f t="shared" si="0"/>
        <v>INSERT INTO Tab5_JoueusesFoot VALUES ('Marie-Antoinette Katoto', 'France', 'Forward', 'Paris Saint-Germain', '100', '70', '14/06/1998');</v>
      </c>
    </row>
    <row r="27" spans="1:19" x14ac:dyDescent="0.35">
      <c r="A27" t="s">
        <v>962</v>
      </c>
      <c r="B27" t="s">
        <v>17</v>
      </c>
      <c r="C27" t="s">
        <v>917</v>
      </c>
      <c r="D27" t="s">
        <v>927</v>
      </c>
      <c r="E27">
        <v>95</v>
      </c>
      <c r="F27">
        <v>25</v>
      </c>
      <c r="G27" s="17">
        <v>35688</v>
      </c>
      <c r="S27" t="str">
        <f t="shared" si="0"/>
        <v>INSERT INTO Tab5_JoueusesFoot VALUES ('Delphine Cascarino', 'France', 'Winger', 'Olympique Lyonnais', '95', '25', '15/09/1997');</v>
      </c>
    </row>
    <row r="28" spans="1:19" x14ac:dyDescent="0.35">
      <c r="A28" t="s">
        <v>963</v>
      </c>
      <c r="B28" t="s">
        <v>124</v>
      </c>
      <c r="C28" t="s">
        <v>914</v>
      </c>
      <c r="D28" t="s">
        <v>924</v>
      </c>
      <c r="E28">
        <v>110</v>
      </c>
      <c r="F28">
        <v>90</v>
      </c>
      <c r="G28" s="17">
        <v>34487</v>
      </c>
      <c r="S28" t="str">
        <f t="shared" si="0"/>
        <v>INSERT INTO Tab5_JoueusesFoot VALUES ('Asisat Oshoala', 'Nigeria', 'Forward', 'Barcelona', '110', '90', '02/06/1994');</v>
      </c>
    </row>
    <row r="29" spans="1:19" x14ac:dyDescent="0.35">
      <c r="A29" t="s">
        <v>964</v>
      </c>
      <c r="B29" t="s">
        <v>913</v>
      </c>
      <c r="C29" t="s">
        <v>926</v>
      </c>
      <c r="D29" t="s">
        <v>965</v>
      </c>
      <c r="E29">
        <v>85</v>
      </c>
      <c r="F29">
        <v>30</v>
      </c>
      <c r="G29" s="17">
        <v>33772</v>
      </c>
      <c r="S29" t="str">
        <f t="shared" si="0"/>
        <v>INSERT INTO Tab5_JoueusesFoot VALUES ('Sam Mewis', 'USA', 'Midfielder', 'Kansas City Current', '85', '30', '17/06/1992');</v>
      </c>
    </row>
    <row r="30" spans="1:19" x14ac:dyDescent="0.35">
      <c r="A30" t="s">
        <v>966</v>
      </c>
      <c r="B30" t="s">
        <v>489</v>
      </c>
      <c r="C30" t="s">
        <v>917</v>
      </c>
      <c r="D30" t="s">
        <v>934</v>
      </c>
      <c r="E30">
        <v>140</v>
      </c>
      <c r="F30">
        <v>50</v>
      </c>
      <c r="G30" s="17">
        <v>34724</v>
      </c>
      <c r="S30" t="str">
        <f t="shared" si="0"/>
        <v>INSERT INTO Tab5_JoueusesFoot VALUES ('Beth Mead', 'England', 'Winger', 'Arsenal', '140', '50', '25/01/1995');</v>
      </c>
    </row>
    <row r="31" spans="1:19" x14ac:dyDescent="0.35">
      <c r="A31" t="s">
        <v>967</v>
      </c>
      <c r="B31" t="s">
        <v>489</v>
      </c>
      <c r="C31" t="s">
        <v>923</v>
      </c>
      <c r="D31" t="s">
        <v>934</v>
      </c>
      <c r="E31">
        <v>75</v>
      </c>
      <c r="F31">
        <v>5</v>
      </c>
      <c r="G31" s="17">
        <v>35479</v>
      </c>
      <c r="S31" t="str">
        <f t="shared" si="0"/>
        <v>INSERT INTO Tab5_JoueusesFoot VALUES ('Leah Williamson', 'England', 'Defender', 'Arsenal', '75', '5', '18/02/1997');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2011-AA68-4C74-99C3-785BFFAAEEB2}">
  <dimension ref="A1:F58"/>
  <sheetViews>
    <sheetView workbookViewId="0">
      <selection activeCell="F2" sqref="F2"/>
    </sheetView>
  </sheetViews>
  <sheetFormatPr baseColWidth="10" defaultRowHeight="14.5" x14ac:dyDescent="0.35"/>
  <cols>
    <col min="1" max="1" width="12.453125" bestFit="1" customWidth="1"/>
    <col min="2" max="2" width="18.7265625" bestFit="1" customWidth="1"/>
    <col min="3" max="3" width="21.36328125" bestFit="1" customWidth="1"/>
    <col min="4" max="4" width="19.54296875" customWidth="1"/>
    <col min="5" max="5" width="7" customWidth="1"/>
  </cols>
  <sheetData>
    <row r="1" spans="1:6" ht="14" customHeight="1" x14ac:dyDescent="0.35">
      <c r="A1" s="1" t="s">
        <v>1074</v>
      </c>
      <c r="B1" s="1" t="s">
        <v>970</v>
      </c>
      <c r="C1" s="1" t="s">
        <v>971</v>
      </c>
      <c r="D1" s="1" t="s">
        <v>1035</v>
      </c>
      <c r="E1" s="32" t="s">
        <v>1405</v>
      </c>
      <c r="F1" s="35" t="s">
        <v>1447</v>
      </c>
    </row>
    <row r="2" spans="1:6" ht="14" customHeight="1" x14ac:dyDescent="0.35">
      <c r="A2" s="4" t="s">
        <v>1448</v>
      </c>
      <c r="B2" s="4" t="s">
        <v>1449</v>
      </c>
      <c r="C2" s="4" t="s">
        <v>1450</v>
      </c>
      <c r="D2" s="4" t="s">
        <v>1451</v>
      </c>
      <c r="F2" t="str">
        <f t="shared" ref="F2:F33" si="0">CONCATENATE("INSERT INTO PaysCountry VALUES ('",A2,$E$1,B2,$E$1,C2,$E$1,D2,"');")</f>
        <v>INSERT INTO PaysCountry VALUES ('ZA', 'Afrique-du-Sud', 'South-Africa', 'جنوب أفريقيا');</v>
      </c>
    </row>
    <row r="3" spans="1:6" ht="14" customHeight="1" x14ac:dyDescent="0.35">
      <c r="A3" s="4" t="s">
        <v>1036</v>
      </c>
      <c r="B3" s="4" t="s">
        <v>200</v>
      </c>
      <c r="C3" s="4" t="s">
        <v>981</v>
      </c>
      <c r="D3" s="4" t="s">
        <v>982</v>
      </c>
      <c r="F3" t="str">
        <f t="shared" si="0"/>
        <v>INSERT INTO PaysCountry VALUES ('DZ', 'Algérie', 'Algeria', 'الجزائر');</v>
      </c>
    </row>
    <row r="4" spans="1:6" ht="14" customHeight="1" x14ac:dyDescent="0.35">
      <c r="A4" s="4" t="s">
        <v>1037</v>
      </c>
      <c r="B4" s="4" t="s">
        <v>50</v>
      </c>
      <c r="C4" s="4" t="s">
        <v>488</v>
      </c>
      <c r="D4" s="4" t="s">
        <v>983</v>
      </c>
      <c r="F4" t="str">
        <f t="shared" si="0"/>
        <v>INSERT INTO PaysCountry VALUES ('DE', 'Allemagne', 'Germany', 'ألمانيا');</v>
      </c>
    </row>
    <row r="5" spans="1:6" ht="14" customHeight="1" x14ac:dyDescent="0.35">
      <c r="A5" s="4" t="s">
        <v>1038</v>
      </c>
      <c r="B5" s="4" t="s">
        <v>72</v>
      </c>
      <c r="C5" s="4" t="s">
        <v>489</v>
      </c>
      <c r="D5" s="4" t="s">
        <v>984</v>
      </c>
      <c r="F5" t="str">
        <f t="shared" si="0"/>
        <v>INSERT INTO PaysCountry VALUES ('GB', 'Angleterre', 'England', 'إنجلترا');</v>
      </c>
    </row>
    <row r="6" spans="1:6" ht="14" customHeight="1" x14ac:dyDescent="0.35">
      <c r="A6" s="4" t="s">
        <v>1452</v>
      </c>
      <c r="B6" s="4" t="s">
        <v>1453</v>
      </c>
      <c r="C6" s="4" t="s">
        <v>1454</v>
      </c>
      <c r="D6" s="4" t="s">
        <v>1455</v>
      </c>
      <c r="F6" t="str">
        <f t="shared" si="0"/>
        <v>INSERT INTO PaysCountry VALUES ('SA', 'Arabie-saoudite', 'Saudi-Arabia', 'المملكة العربية السعودية');</v>
      </c>
    </row>
    <row r="7" spans="1:6" ht="14" customHeight="1" x14ac:dyDescent="0.35">
      <c r="A7" s="4" t="s">
        <v>1039</v>
      </c>
      <c r="B7" s="4" t="s">
        <v>8</v>
      </c>
      <c r="C7" s="4" t="s">
        <v>490</v>
      </c>
      <c r="D7" s="4" t="s">
        <v>985</v>
      </c>
      <c r="F7" t="str">
        <f t="shared" si="0"/>
        <v>INSERT INTO PaysCountry VALUES ('AR', 'Argentine', 'Argentina', 'الأرجنتين');</v>
      </c>
    </row>
    <row r="8" spans="1:6" ht="14" customHeight="1" x14ac:dyDescent="0.35">
      <c r="A8" s="4" t="s">
        <v>1456</v>
      </c>
      <c r="B8" s="4" t="s">
        <v>1457</v>
      </c>
      <c r="C8" s="4" t="s">
        <v>920</v>
      </c>
      <c r="D8" s="4" t="s">
        <v>1458</v>
      </c>
      <c r="F8" t="str">
        <f t="shared" si="0"/>
        <v>INSERT INTO PaysCountry VALUES ('AU', 'Australie', 'Australia', 'أستراليا');</v>
      </c>
    </row>
    <row r="9" spans="1:6" ht="14" customHeight="1" x14ac:dyDescent="0.35">
      <c r="A9" s="4" t="s">
        <v>1040</v>
      </c>
      <c r="B9" s="4" t="s">
        <v>187</v>
      </c>
      <c r="C9" s="4" t="s">
        <v>986</v>
      </c>
      <c r="D9" s="4" t="s">
        <v>987</v>
      </c>
      <c r="F9" t="str">
        <f t="shared" si="0"/>
        <v>INSERT INTO PaysCountry VALUES ('AT', 'Autriche', 'Austria', 'النمسا');</v>
      </c>
    </row>
    <row r="10" spans="1:6" ht="14" customHeight="1" x14ac:dyDescent="0.35">
      <c r="A10" s="4" t="s">
        <v>1041</v>
      </c>
      <c r="B10" s="4" t="s">
        <v>29</v>
      </c>
      <c r="C10" s="4" t="s">
        <v>491</v>
      </c>
      <c r="D10" s="4" t="s">
        <v>988</v>
      </c>
      <c r="F10" t="str">
        <f t="shared" si="0"/>
        <v>INSERT INTO PaysCountry VALUES ('BE', 'Belgique', 'Belgium', 'بلجيكا');</v>
      </c>
    </row>
    <row r="11" spans="1:6" ht="14" customHeight="1" x14ac:dyDescent="0.35">
      <c r="A11" s="4" t="s">
        <v>1042</v>
      </c>
      <c r="B11" s="4" t="s">
        <v>14</v>
      </c>
      <c r="C11" s="4" t="s">
        <v>492</v>
      </c>
      <c r="D11" s="4" t="s">
        <v>989</v>
      </c>
      <c r="F11" t="str">
        <f t="shared" si="0"/>
        <v>INSERT INTO PaysCountry VALUES ('BR', 'Brésil', 'Brazil', 'البرازيل');</v>
      </c>
    </row>
    <row r="12" spans="1:6" ht="14" customHeight="1" x14ac:dyDescent="0.35">
      <c r="A12" s="4" t="s">
        <v>1043</v>
      </c>
      <c r="B12" s="4" t="s">
        <v>132</v>
      </c>
      <c r="C12" s="4" t="s">
        <v>493</v>
      </c>
      <c r="D12" s="4" t="s">
        <v>990</v>
      </c>
      <c r="F12" t="str">
        <f t="shared" si="0"/>
        <v>INSERT INTO PaysCountry VALUES ('CM', 'Cameroun', 'Cameroon', 'الكاميرون');</v>
      </c>
    </row>
    <row r="13" spans="1:6" ht="14" customHeight="1" x14ac:dyDescent="0.35">
      <c r="A13" s="4" t="s">
        <v>1044</v>
      </c>
      <c r="B13" s="4" t="s">
        <v>275</v>
      </c>
      <c r="C13" s="4" t="s">
        <v>275</v>
      </c>
      <c r="D13" s="4" t="s">
        <v>991</v>
      </c>
      <c r="F13" t="str">
        <f t="shared" si="0"/>
        <v>INSERT INTO PaysCountry VALUES ('CA', 'Canada', 'Canada', 'كندا');</v>
      </c>
    </row>
    <row r="14" spans="1:6" ht="14" customHeight="1" x14ac:dyDescent="0.35">
      <c r="A14" s="4" t="s">
        <v>1459</v>
      </c>
      <c r="B14" s="4" t="s">
        <v>1460</v>
      </c>
      <c r="C14" s="4" t="s">
        <v>1461</v>
      </c>
      <c r="D14" s="4" t="s">
        <v>1462</v>
      </c>
      <c r="F14" t="str">
        <f t="shared" si="0"/>
        <v>INSERT INTO PaysCountry VALUES ('CN', 'Chine', 'China', 'الصين');</v>
      </c>
    </row>
    <row r="15" spans="1:6" ht="14" customHeight="1" x14ac:dyDescent="0.35">
      <c r="A15" s="4" t="s">
        <v>1045</v>
      </c>
      <c r="B15" s="4" t="s">
        <v>502</v>
      </c>
      <c r="C15" s="4" t="s">
        <v>1356</v>
      </c>
      <c r="D15" s="4" t="s">
        <v>992</v>
      </c>
      <c r="F15" t="str">
        <f t="shared" si="0"/>
        <v>INSERT INTO PaysCountry VALUES ('KR', 'Corée-du-Sud', 'South-Korea', 'كوريا الجنوبية');</v>
      </c>
    </row>
    <row r="16" spans="1:6" ht="14" customHeight="1" x14ac:dyDescent="0.35">
      <c r="A16" s="4" t="s">
        <v>1046</v>
      </c>
      <c r="B16" s="4" t="s">
        <v>500</v>
      </c>
      <c r="C16" s="4" t="s">
        <v>500</v>
      </c>
      <c r="D16" s="4" t="s">
        <v>993</v>
      </c>
      <c r="F16" t="str">
        <f t="shared" si="0"/>
        <v>INSERT INTO PaysCountry VALUES ('CR', 'Costa-Rica', 'Costa-Rica', 'كوستاريكا');</v>
      </c>
    </row>
    <row r="17" spans="1:6" ht="14" customHeight="1" x14ac:dyDescent="0.35">
      <c r="A17" s="4" t="s">
        <v>1047</v>
      </c>
      <c r="B17" s="4" t="s">
        <v>501</v>
      </c>
      <c r="C17" s="4" t="s">
        <v>1357</v>
      </c>
      <c r="D17" s="4" t="s">
        <v>994</v>
      </c>
      <c r="F17" t="str">
        <f t="shared" si="0"/>
        <v>INSERT INTO PaysCountry VALUES ('CI', 'Côte-d'Ivoire', 'Ivory-Coast', 'كوت ديفوار');</v>
      </c>
    </row>
    <row r="18" spans="1:6" ht="14" customHeight="1" x14ac:dyDescent="0.35">
      <c r="A18" s="4" t="s">
        <v>1048</v>
      </c>
      <c r="B18" s="4" t="s">
        <v>26</v>
      </c>
      <c r="C18" s="4" t="s">
        <v>494</v>
      </c>
      <c r="D18" s="4" t="s">
        <v>995</v>
      </c>
      <c r="F18" t="str">
        <f t="shared" si="0"/>
        <v>INSERT INTO PaysCountry VALUES ('HR', 'Croatie', 'Croatia', 'كرواتيا');</v>
      </c>
    </row>
    <row r="19" spans="1:6" ht="14" customHeight="1" x14ac:dyDescent="0.35">
      <c r="A19" s="4" t="s">
        <v>1049</v>
      </c>
      <c r="B19" s="4" t="s">
        <v>252</v>
      </c>
      <c r="C19" s="4" t="s">
        <v>948</v>
      </c>
      <c r="D19" s="4" t="s">
        <v>996</v>
      </c>
      <c r="F19" t="str">
        <f t="shared" si="0"/>
        <v>INSERT INTO PaysCountry VALUES ('DK', 'Danemark', 'Denmark', 'الدنمارك');</v>
      </c>
    </row>
    <row r="20" spans="1:6" ht="14" customHeight="1" x14ac:dyDescent="0.35">
      <c r="A20" s="4" t="s">
        <v>1463</v>
      </c>
      <c r="B20" s="4" t="s">
        <v>145</v>
      </c>
      <c r="C20" s="4" t="s">
        <v>997</v>
      </c>
      <c r="D20" s="4" t="s">
        <v>998</v>
      </c>
      <c r="F20" t="str">
        <f t="shared" si="0"/>
        <v>INSERT INTO PaysCountry VALUES ('SCT', 'Écosse', 'Scotland', 'اسكتلندا');</v>
      </c>
    </row>
    <row r="21" spans="1:6" ht="14" customHeight="1" x14ac:dyDescent="0.35">
      <c r="A21" s="4" t="s">
        <v>1050</v>
      </c>
      <c r="B21" s="4" t="s">
        <v>32</v>
      </c>
      <c r="C21" s="4" t="s">
        <v>999</v>
      </c>
      <c r="D21" s="4" t="s">
        <v>1000</v>
      </c>
      <c r="F21" t="str">
        <f t="shared" si="0"/>
        <v>INSERT INTO PaysCountry VALUES ('EG', 'Égypte', 'Egypt', 'مصر');</v>
      </c>
    </row>
    <row r="22" spans="1:6" ht="14" customHeight="1" x14ac:dyDescent="0.35">
      <c r="A22" s="4" t="s">
        <v>1051</v>
      </c>
      <c r="B22" s="4" t="s">
        <v>238</v>
      </c>
      <c r="C22" s="4" t="s">
        <v>1001</v>
      </c>
      <c r="D22" s="4" t="s">
        <v>1002</v>
      </c>
      <c r="F22" t="str">
        <f t="shared" si="0"/>
        <v>INSERT INTO PaysCountry VALUES ('EC', 'Équateur', 'Ecuador', 'الإكوادور');</v>
      </c>
    </row>
    <row r="23" spans="1:6" ht="14" customHeight="1" x14ac:dyDescent="0.35">
      <c r="A23" s="4" t="s">
        <v>1052</v>
      </c>
      <c r="B23" s="4" t="s">
        <v>47</v>
      </c>
      <c r="C23" s="4" t="s">
        <v>957</v>
      </c>
      <c r="D23" s="4" t="s">
        <v>1003</v>
      </c>
      <c r="F23" t="str">
        <f t="shared" si="0"/>
        <v>INSERT INTO PaysCountry VALUES ('ES', 'Espagne', 'Spain', 'إسبانيا');</v>
      </c>
    </row>
    <row r="24" spans="1:6" ht="14" customHeight="1" x14ac:dyDescent="0.35">
      <c r="A24" s="4" t="s">
        <v>1464</v>
      </c>
      <c r="B24" s="4" t="s">
        <v>1440</v>
      </c>
      <c r="C24" s="4" t="s">
        <v>1441</v>
      </c>
      <c r="D24" t="s">
        <v>1465</v>
      </c>
      <c r="F24" t="str">
        <f t="shared" si="0"/>
        <v>INSERT INTO PaysCountry VALUES ('US', 'États-Unis-d'Amérique', 'United-States-of-America', 'الولايات المتحدة الأمريكية');</v>
      </c>
    </row>
    <row r="25" spans="1:6" ht="14" customHeight="1" x14ac:dyDescent="0.35">
      <c r="A25" s="4" t="s">
        <v>1053</v>
      </c>
      <c r="B25" s="4" t="s">
        <v>17</v>
      </c>
      <c r="C25" s="4" t="s">
        <v>17</v>
      </c>
      <c r="D25" s="4" t="s">
        <v>1004</v>
      </c>
      <c r="F25" t="str">
        <f t="shared" si="0"/>
        <v>INSERT INTO PaysCountry VALUES ('FR', 'France', 'France', 'فرنسا');</v>
      </c>
    </row>
    <row r="26" spans="1:6" ht="14" customHeight="1" x14ac:dyDescent="0.35">
      <c r="A26" s="4" t="s">
        <v>1054</v>
      </c>
      <c r="B26" s="4" t="s">
        <v>281</v>
      </c>
      <c r="C26" s="4" t="s">
        <v>1005</v>
      </c>
      <c r="D26" s="4" t="s">
        <v>1006</v>
      </c>
      <c r="F26" t="str">
        <f t="shared" si="0"/>
        <v>INSERT INTO PaysCountry VALUES ('GE', 'Géorgie', 'Georgia', 'جورجيا');</v>
      </c>
    </row>
    <row r="27" spans="1:6" ht="14" customHeight="1" x14ac:dyDescent="0.35">
      <c r="A27" s="4" t="s">
        <v>1055</v>
      </c>
      <c r="B27" s="4" t="s">
        <v>249</v>
      </c>
      <c r="C27" s="4" t="s">
        <v>1007</v>
      </c>
      <c r="D27" s="4" t="s">
        <v>1008</v>
      </c>
      <c r="F27" t="str">
        <f t="shared" si="0"/>
        <v>INSERT INTO PaysCountry VALUES ('HU', 'Hongrie', 'Hungary', 'المجر');</v>
      </c>
    </row>
    <row r="28" spans="1:6" ht="14" customHeight="1" x14ac:dyDescent="0.35">
      <c r="A28" s="4" t="s">
        <v>1466</v>
      </c>
      <c r="B28" s="4" t="s">
        <v>1467</v>
      </c>
      <c r="C28" s="4" t="s">
        <v>1468</v>
      </c>
      <c r="D28" s="4" t="s">
        <v>1469</v>
      </c>
      <c r="F28" t="str">
        <f t="shared" si="0"/>
        <v>INSERT INTO PaysCountry VALUES ('IN', 'Inde', 'India', 'الهند');</v>
      </c>
    </row>
    <row r="29" spans="1:6" ht="14" customHeight="1" x14ac:dyDescent="0.35">
      <c r="A29" s="4" t="s">
        <v>1056</v>
      </c>
      <c r="B29" s="4" t="s">
        <v>255</v>
      </c>
      <c r="C29" s="4" t="s">
        <v>1009</v>
      </c>
      <c r="D29" s="4" t="s">
        <v>1010</v>
      </c>
      <c r="F29" t="str">
        <f t="shared" si="0"/>
        <v>INSERT INTO PaysCountry VALUES ('IE', 'Irlande', 'Ireland', 'أيرلندا');</v>
      </c>
    </row>
    <row r="30" spans="1:6" ht="14" customHeight="1" x14ac:dyDescent="0.35">
      <c r="A30" s="4" t="s">
        <v>1470</v>
      </c>
      <c r="B30" s="4" t="s">
        <v>1471</v>
      </c>
      <c r="C30" s="4" t="s">
        <v>1472</v>
      </c>
      <c r="D30" s="4" t="s">
        <v>1473</v>
      </c>
      <c r="F30" t="str">
        <f t="shared" si="0"/>
        <v>INSERT INTO PaysCountry VALUES ('IL', 'Israël', 'Israel', 'إسرائيل');</v>
      </c>
    </row>
    <row r="31" spans="1:6" ht="14" customHeight="1" x14ac:dyDescent="0.35">
      <c r="A31" s="4" t="s">
        <v>1057</v>
      </c>
      <c r="B31" s="4" t="s">
        <v>79</v>
      </c>
      <c r="C31" s="4" t="s">
        <v>495</v>
      </c>
      <c r="D31" s="4" t="s">
        <v>1011</v>
      </c>
      <c r="F31" t="str">
        <f t="shared" si="0"/>
        <v>INSERT INTO PaysCountry VALUES ('IT', 'Italie', 'Italy', 'إيطاليا');</v>
      </c>
    </row>
    <row r="32" spans="1:6" ht="14" customHeight="1" x14ac:dyDescent="0.35">
      <c r="A32" s="4" t="s">
        <v>1058</v>
      </c>
      <c r="B32" s="4" t="s">
        <v>969</v>
      </c>
      <c r="C32" s="4" t="s">
        <v>952</v>
      </c>
      <c r="D32" s="4" t="s">
        <v>1012</v>
      </c>
      <c r="F32" t="str">
        <f t="shared" si="0"/>
        <v>INSERT INTO PaysCountry VALUES ('JP', 'Japon', 'Japan', 'اليابان');</v>
      </c>
    </row>
    <row r="33" spans="1:6" ht="14" customHeight="1" x14ac:dyDescent="0.35">
      <c r="A33" s="4" t="s">
        <v>1474</v>
      </c>
      <c r="B33" s="4" t="s">
        <v>1475</v>
      </c>
      <c r="C33" s="4" t="s">
        <v>319</v>
      </c>
      <c r="D33" s="4" t="s">
        <v>1476</v>
      </c>
      <c r="F33" t="str">
        <f t="shared" si="0"/>
        <v>INSERT INTO PaysCountry VALUES ('JO', 'Jordanie', 'Jordan', 'الأردن');</v>
      </c>
    </row>
    <row r="34" spans="1:6" ht="14" customHeight="1" x14ac:dyDescent="0.35">
      <c r="A34" s="4" t="s">
        <v>1059</v>
      </c>
      <c r="B34" s="4" t="s">
        <v>86</v>
      </c>
      <c r="C34" s="4" t="s">
        <v>1013</v>
      </c>
      <c r="D34" s="4" t="s">
        <v>1014</v>
      </c>
      <c r="F34" t="str">
        <f t="shared" ref="F34:F52" si="1">CONCATENATE("INSERT INTO PaysCountry VALUES ('",A34,$E$1,B34,$E$1,C34,$E$1,D34,"');")</f>
        <v>INSERT INTO PaysCountry VALUES ('MA', 'Maroc', 'Morocco', 'المغرب');</v>
      </c>
    </row>
    <row r="35" spans="1:6" ht="14" customHeight="1" x14ac:dyDescent="0.35">
      <c r="A35" s="4" t="s">
        <v>1060</v>
      </c>
      <c r="B35" s="4" t="s">
        <v>327</v>
      </c>
      <c r="C35" s="4" t="s">
        <v>496</v>
      </c>
      <c r="D35" s="4" t="s">
        <v>1015</v>
      </c>
      <c r="F35" t="str">
        <f t="shared" si="1"/>
        <v>INSERT INTO PaysCountry VALUES ('MX', 'Mexique', 'Mexico', 'المكسيك');</v>
      </c>
    </row>
    <row r="36" spans="1:6" ht="14" customHeight="1" x14ac:dyDescent="0.35">
      <c r="A36" s="4" t="s">
        <v>1061</v>
      </c>
      <c r="B36" s="4" t="s">
        <v>124</v>
      </c>
      <c r="C36" s="4" t="s">
        <v>124</v>
      </c>
      <c r="D36" s="4" t="s">
        <v>1016</v>
      </c>
      <c r="F36" t="str">
        <f t="shared" si="1"/>
        <v>INSERT INTO PaysCountry VALUES ('NG', 'Nigeria', 'Nigeria', 'نيجيريا');</v>
      </c>
    </row>
    <row r="37" spans="1:6" ht="14" customHeight="1" x14ac:dyDescent="0.35">
      <c r="A37" s="4" t="s">
        <v>1062</v>
      </c>
      <c r="B37" s="4" t="s">
        <v>39</v>
      </c>
      <c r="C37" s="4" t="s">
        <v>937</v>
      </c>
      <c r="D37" s="4" t="s">
        <v>1017</v>
      </c>
      <c r="F37" t="str">
        <f t="shared" si="1"/>
        <v>INSERT INTO PaysCountry VALUES ('NO', 'Norvège', 'Norway', 'النرويج');</v>
      </c>
    </row>
    <row r="38" spans="1:6" ht="14" customHeight="1" x14ac:dyDescent="0.35">
      <c r="A38" s="4" t="s">
        <v>1063</v>
      </c>
      <c r="B38" s="4" t="s">
        <v>36</v>
      </c>
      <c r="C38" s="4" t="s">
        <v>933</v>
      </c>
      <c r="D38" s="4" t="s">
        <v>1020</v>
      </c>
      <c r="F38" t="str">
        <f t="shared" si="1"/>
        <v>INSERT INTO PaysCountry VALUES ('NL', 'Pays-Bas', 'Netherlands', 'هولندا');</v>
      </c>
    </row>
    <row r="39" spans="1:6" ht="14" customHeight="1" x14ac:dyDescent="0.35">
      <c r="A39" s="4" t="s">
        <v>1477</v>
      </c>
      <c r="B39" s="4" t="s">
        <v>1358</v>
      </c>
      <c r="C39" s="4" t="s">
        <v>1018</v>
      </c>
      <c r="D39" s="4" t="s">
        <v>1019</v>
      </c>
      <c r="F39" t="str">
        <f t="shared" si="1"/>
        <v>INSERT INTO PaysCountry VALUES ('WLS', 'Pays-de-Galles', 'Wales', 'ويلز');</v>
      </c>
    </row>
    <row r="40" spans="1:6" ht="14" customHeight="1" x14ac:dyDescent="0.35">
      <c r="A40" s="4" t="s">
        <v>1064</v>
      </c>
      <c r="B40" s="4" t="s">
        <v>20</v>
      </c>
      <c r="C40" s="4" t="s">
        <v>497</v>
      </c>
      <c r="D40" s="4" t="s">
        <v>1021</v>
      </c>
      <c r="F40" t="str">
        <f t="shared" si="1"/>
        <v>INSERT INTO PaysCountry VALUES ('PL', 'Pologne', 'Poland', 'بولندا');</v>
      </c>
    </row>
    <row r="41" spans="1:6" ht="14" customHeight="1" x14ac:dyDescent="0.35">
      <c r="A41" s="4" t="s">
        <v>1065</v>
      </c>
      <c r="B41" s="4" t="s">
        <v>11</v>
      </c>
      <c r="C41" s="4" t="s">
        <v>11</v>
      </c>
      <c r="D41" s="4" t="s">
        <v>1022</v>
      </c>
      <c r="F41" t="str">
        <f t="shared" si="1"/>
        <v>INSERT INTO PaysCountry VALUES ('PT', 'Portugal', 'Portugal', 'البرتغال');</v>
      </c>
    </row>
    <row r="42" spans="1:6" ht="14" customHeight="1" x14ac:dyDescent="0.35">
      <c r="A42" s="4" t="s">
        <v>1478</v>
      </c>
      <c r="B42" s="4" t="s">
        <v>1479</v>
      </c>
      <c r="C42" s="4" t="s">
        <v>1480</v>
      </c>
      <c r="D42" s="4" t="s">
        <v>1481</v>
      </c>
      <c r="F42" t="str">
        <f t="shared" si="1"/>
        <v>INSERT INTO PaysCountry VALUES ('CZ', 'République-tchèque', 'Czech-Republic', 'جمهورية التشيك');</v>
      </c>
    </row>
    <row r="43" spans="1:6" ht="14" customHeight="1" x14ac:dyDescent="0.35">
      <c r="A43" s="4" t="s">
        <v>1482</v>
      </c>
      <c r="B43" s="4" t="s">
        <v>1483</v>
      </c>
      <c r="C43" s="4" t="s">
        <v>1484</v>
      </c>
      <c r="D43" s="4" t="s">
        <v>1485</v>
      </c>
      <c r="F43" t="str">
        <f t="shared" si="1"/>
        <v>INSERT INTO PaysCountry VALUES ('UK', 'Royaume-Uni', 'United-Kingdom', 'المملكة المتحدة');</v>
      </c>
    </row>
    <row r="44" spans="1:6" ht="14" customHeight="1" x14ac:dyDescent="0.35">
      <c r="A44" s="4" t="s">
        <v>1109</v>
      </c>
      <c r="B44" s="4" t="s">
        <v>580</v>
      </c>
      <c r="C44" s="4" t="s">
        <v>1108</v>
      </c>
      <c r="D44" s="4" t="s">
        <v>1110</v>
      </c>
      <c r="F44" t="str">
        <f t="shared" si="1"/>
        <v>INSERT INTO PaysCountry VALUES ('RU', 'Russie', 'Russia', 'روسيا');</v>
      </c>
    </row>
    <row r="45" spans="1:6" ht="14" customHeight="1" x14ac:dyDescent="0.35">
      <c r="A45" s="4" t="s">
        <v>1066</v>
      </c>
      <c r="B45" s="4" t="s">
        <v>968</v>
      </c>
      <c r="C45" s="4" t="s">
        <v>1023</v>
      </c>
      <c r="D45" s="4" t="s">
        <v>1024</v>
      </c>
      <c r="F45" t="str">
        <f t="shared" si="1"/>
        <v>INSERT INTO PaysCountry VALUES ('SN', 'Sénégal', 'Senegal', 'السنغال');</v>
      </c>
    </row>
    <row r="46" spans="1:6" ht="14" customHeight="1" x14ac:dyDescent="0.35">
      <c r="A46" s="4" t="s">
        <v>1067</v>
      </c>
      <c r="B46" s="4" t="s">
        <v>127</v>
      </c>
      <c r="C46" s="4" t="s">
        <v>1025</v>
      </c>
      <c r="D46" s="4" t="s">
        <v>1026</v>
      </c>
      <c r="F46" t="str">
        <f t="shared" si="1"/>
        <v>INSERT INTO PaysCountry VALUES ('RS', 'Serbie', 'Serbia', 'صربيا');</v>
      </c>
    </row>
    <row r="47" spans="1:6" ht="14" customHeight="1" x14ac:dyDescent="0.35">
      <c r="A47" s="4" t="s">
        <v>1068</v>
      </c>
      <c r="B47" s="4" t="s">
        <v>309</v>
      </c>
      <c r="C47" s="4" t="s">
        <v>498</v>
      </c>
      <c r="D47" s="4" t="s">
        <v>1027</v>
      </c>
      <c r="F47" t="str">
        <f t="shared" si="1"/>
        <v>INSERT INTO PaysCountry VALUES ('SI', 'Slovénie', 'Slovenia', 'سلوفينيا');</v>
      </c>
    </row>
    <row r="48" spans="1:6" ht="14" customHeight="1" x14ac:dyDescent="0.35">
      <c r="A48" s="4" t="s">
        <v>1069</v>
      </c>
      <c r="B48" s="4" t="s">
        <v>161</v>
      </c>
      <c r="C48" s="4" t="s">
        <v>1028</v>
      </c>
      <c r="D48" s="4" t="s">
        <v>1029</v>
      </c>
      <c r="F48" t="str">
        <f t="shared" si="1"/>
        <v>INSERT INTO PaysCountry VALUES ('SE', 'Suède', 'Sweden', 'السويد');</v>
      </c>
    </row>
    <row r="49" spans="1:6" ht="14" customHeight="1" x14ac:dyDescent="0.35">
      <c r="A49" s="4" t="s">
        <v>1070</v>
      </c>
      <c r="B49" s="4" t="s">
        <v>322</v>
      </c>
      <c r="C49" s="4" t="s">
        <v>499</v>
      </c>
      <c r="D49" s="4" t="s">
        <v>1030</v>
      </c>
      <c r="F49" t="str">
        <f t="shared" si="1"/>
        <v>INSERT INTO PaysCountry VALUES ('CH', 'Suisse', 'Switzerland', 'سويسرا');</v>
      </c>
    </row>
    <row r="50" spans="1:6" ht="14" customHeight="1" x14ac:dyDescent="0.35">
      <c r="A50" s="4" t="s">
        <v>1071</v>
      </c>
      <c r="B50" s="4" t="s">
        <v>682</v>
      </c>
      <c r="C50" s="4" t="s">
        <v>1031</v>
      </c>
      <c r="D50" s="4" t="s">
        <v>1032</v>
      </c>
      <c r="F50" t="str">
        <f t="shared" si="1"/>
        <v>INSERT INTO PaysCountry VALUES ('TN', 'Tunisie', 'Tunisia', 'تونس');</v>
      </c>
    </row>
    <row r="51" spans="1:6" ht="14" customHeight="1" x14ac:dyDescent="0.35">
      <c r="A51" s="4" t="s">
        <v>1072</v>
      </c>
      <c r="B51" s="4" t="s">
        <v>246</v>
      </c>
      <c r="C51" s="4" t="s">
        <v>246</v>
      </c>
      <c r="D51" s="4" t="s">
        <v>1033</v>
      </c>
      <c r="F51" t="str">
        <f t="shared" si="1"/>
        <v>INSERT INTO PaysCountry VALUES ('UA', 'Ukraine', 'Ukraine', 'أوكرانيا');</v>
      </c>
    </row>
    <row r="52" spans="1:6" ht="14" customHeight="1" x14ac:dyDescent="0.35">
      <c r="A52" s="4" t="s">
        <v>1073</v>
      </c>
      <c r="B52" s="4" t="s">
        <v>59</v>
      </c>
      <c r="C52" s="4" t="s">
        <v>59</v>
      </c>
      <c r="D52" s="4" t="s">
        <v>1034</v>
      </c>
      <c r="F52" t="str">
        <f t="shared" si="1"/>
        <v>INSERT INTO PaysCountry VALUES ('UY', 'Uruguay', 'Uruguay', 'أوروغواي');</v>
      </c>
    </row>
    <row r="53" spans="1:6" ht="14" customHeight="1" x14ac:dyDescent="0.35"/>
    <row r="54" spans="1:6" ht="14" customHeight="1" x14ac:dyDescent="0.35"/>
    <row r="55" spans="1:6" ht="14" customHeight="1" x14ac:dyDescent="0.35"/>
    <row r="56" spans="1:6" ht="14" customHeight="1" x14ac:dyDescent="0.35"/>
    <row r="57" spans="1:6" ht="14" customHeight="1" x14ac:dyDescent="0.35"/>
    <row r="58" spans="1:6" ht="14" customHeight="1" x14ac:dyDescent="0.35"/>
  </sheetData>
  <sortState xmlns:xlrd2="http://schemas.microsoft.com/office/spreadsheetml/2017/richdata2" ref="A2:D43">
    <sortCondition ref="B2:B43"/>
  </sortState>
  <phoneticPr fontId="2" type="noConversion"/>
  <conditionalFormatting sqref="B16 A2:A52 D16">
    <cfRule type="duplicateValues" dxfId="0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421B-1588-4BBF-819C-3357CB1F885B}">
  <dimension ref="A1:F42"/>
  <sheetViews>
    <sheetView workbookViewId="0">
      <selection activeCell="F17" sqref="F17"/>
    </sheetView>
  </sheetViews>
  <sheetFormatPr baseColWidth="10" defaultRowHeight="14.5" x14ac:dyDescent="0.35"/>
  <cols>
    <col min="2" max="2" width="14.26953125" customWidth="1"/>
    <col min="3" max="3" width="19.36328125" customWidth="1"/>
    <col min="4" max="5" width="16.453125" customWidth="1"/>
  </cols>
  <sheetData>
    <row r="1" spans="1:6" x14ac:dyDescent="0.35">
      <c r="A1" s="1" t="s">
        <v>1404</v>
      </c>
      <c r="B1" s="1" t="s">
        <v>972</v>
      </c>
      <c r="C1" s="1" t="s">
        <v>1381</v>
      </c>
      <c r="D1" s="1" t="s">
        <v>1376</v>
      </c>
      <c r="E1" s="32" t="s">
        <v>1405</v>
      </c>
      <c r="F1" s="35" t="s">
        <v>1486</v>
      </c>
    </row>
    <row r="2" spans="1:6" x14ac:dyDescent="0.35">
      <c r="A2" s="28" t="s">
        <v>1388</v>
      </c>
      <c r="B2" t="s">
        <v>7</v>
      </c>
      <c r="C2" t="s">
        <v>914</v>
      </c>
      <c r="D2" t="s">
        <v>1382</v>
      </c>
      <c r="F2" t="str">
        <f>CONCATENATE("INSERT INTO PostePosition VALUES ('",A2,$E$1,B2,$E$1,C2,$E$1,D2,"');")</f>
        <v>INSERT INTO PostePosition VALUES ('M_A', 'Attaquant', 'Forward', 'مهاجم');</v>
      </c>
    </row>
    <row r="3" spans="1:6" x14ac:dyDescent="0.35">
      <c r="A3" t="s">
        <v>1389</v>
      </c>
      <c r="B3" t="s">
        <v>25</v>
      </c>
      <c r="C3" t="s">
        <v>926</v>
      </c>
      <c r="D3" t="s">
        <v>1383</v>
      </c>
      <c r="F3" t="str">
        <f t="shared" ref="F3:F12" si="0">CONCATENATE("INSERT INTO PostePosition VALUES ('",A3,$E$1,B3,$E$1,C3,$E$1,D3,"');")</f>
        <v>INSERT INTO PostePosition VALUES ('M_M', 'Milieu', 'Midfielder', 'لاعب وسط');</v>
      </c>
    </row>
    <row r="4" spans="1:6" x14ac:dyDescent="0.35">
      <c r="A4" t="s">
        <v>1390</v>
      </c>
      <c r="B4" t="s">
        <v>35</v>
      </c>
      <c r="C4" t="s">
        <v>923</v>
      </c>
      <c r="D4" t="s">
        <v>1384</v>
      </c>
      <c r="F4" t="str">
        <f t="shared" si="0"/>
        <v>INSERT INTO PostePosition VALUES ('M_D', 'Défenseur', 'Defender', 'مدافع');</v>
      </c>
    </row>
    <row r="5" spans="1:6" x14ac:dyDescent="0.35">
      <c r="A5" t="s">
        <v>1391</v>
      </c>
      <c r="B5" t="s">
        <v>42</v>
      </c>
      <c r="C5" t="s">
        <v>487</v>
      </c>
      <c r="D5" t="s">
        <v>1385</v>
      </c>
      <c r="F5" t="str">
        <f t="shared" si="0"/>
        <v>INSERT INTO PostePosition VALUES ('M_G', 'Gardien', 'Goalkeeper', 'حارس مرمى');</v>
      </c>
    </row>
    <row r="6" spans="1:6" x14ac:dyDescent="0.35">
      <c r="A6" t="s">
        <v>1406</v>
      </c>
      <c r="B6" t="s">
        <v>1377</v>
      </c>
      <c r="C6" t="s">
        <v>917</v>
      </c>
      <c r="D6" t="s">
        <v>976</v>
      </c>
      <c r="F6" t="str">
        <f t="shared" si="0"/>
        <v>INSERT INTO PostePosition VALUES ('M_X1', 'Ailier', 'Winger', 'جناح');</v>
      </c>
    </row>
    <row r="7" spans="1:6" x14ac:dyDescent="0.35">
      <c r="A7" t="s">
        <v>1392</v>
      </c>
      <c r="B7" t="s">
        <v>973</v>
      </c>
      <c r="C7" t="s">
        <v>914</v>
      </c>
      <c r="D7" t="s">
        <v>974</v>
      </c>
      <c r="F7" t="str">
        <f t="shared" si="0"/>
        <v>INSERT INTO PostePosition VALUES ('F_A', 'Attaquante', 'Forward', 'مهاجمة');</v>
      </c>
    </row>
    <row r="8" spans="1:6" x14ac:dyDescent="0.35">
      <c r="A8" t="s">
        <v>1393</v>
      </c>
      <c r="B8" t="s">
        <v>979</v>
      </c>
      <c r="C8" t="s">
        <v>926</v>
      </c>
      <c r="D8" t="s">
        <v>980</v>
      </c>
      <c r="F8" t="str">
        <f t="shared" si="0"/>
        <v>INSERT INTO PostePosition VALUES ('F_M', 'Milieu de terrain', 'Midfielder', 'لاعبة وسط');</v>
      </c>
    </row>
    <row r="9" spans="1:6" x14ac:dyDescent="0.35">
      <c r="A9" t="s">
        <v>1394</v>
      </c>
      <c r="B9" t="s">
        <v>977</v>
      </c>
      <c r="C9" t="s">
        <v>923</v>
      </c>
      <c r="D9" t="s">
        <v>978</v>
      </c>
      <c r="F9" t="str">
        <f t="shared" si="0"/>
        <v>INSERT INTO PostePosition VALUES ('F_D', 'Défenseure', 'Defender', 'مدافعة');</v>
      </c>
    </row>
    <row r="10" spans="1:6" x14ac:dyDescent="0.35">
      <c r="A10" t="s">
        <v>1387</v>
      </c>
      <c r="B10" t="s">
        <v>1378</v>
      </c>
      <c r="C10" t="s">
        <v>487</v>
      </c>
      <c r="D10" t="s">
        <v>1386</v>
      </c>
      <c r="F10" t="str">
        <f t="shared" si="0"/>
        <v>INSERT INTO PostePosition VALUES ('F_G', 'Gardienne', 'Goalkeeper', 'حارسة مرمى');</v>
      </c>
    </row>
    <row r="11" spans="1:6" x14ac:dyDescent="0.35">
      <c r="A11" t="s">
        <v>1407</v>
      </c>
      <c r="B11" t="s">
        <v>975</v>
      </c>
      <c r="C11" t="s">
        <v>917</v>
      </c>
      <c r="D11" t="s">
        <v>976</v>
      </c>
      <c r="F11" t="str">
        <f t="shared" si="0"/>
        <v>INSERT INTO PostePosition VALUES ('F_X2', 'Ailière', 'Winger', 'جناح');</v>
      </c>
    </row>
    <row r="12" spans="1:6" x14ac:dyDescent="0.35">
      <c r="A12" t="s">
        <v>1487</v>
      </c>
      <c r="B12" t="s">
        <v>1378</v>
      </c>
      <c r="C12" t="s">
        <v>487</v>
      </c>
      <c r="D12" t="s">
        <v>1386</v>
      </c>
      <c r="F12" t="str">
        <f t="shared" si="0"/>
        <v>INSERT INTO PostePosition VALUES ('F_G1', 'Gardienne', 'Goalkeeper', 'حارسة مرمى');</v>
      </c>
    </row>
    <row r="15" spans="1:6" x14ac:dyDescent="0.35">
      <c r="B15" t="s">
        <v>1380</v>
      </c>
      <c r="C15" t="s">
        <v>487</v>
      </c>
      <c r="D15" t="s">
        <v>1386</v>
      </c>
    </row>
    <row r="16" spans="1:6" x14ac:dyDescent="0.35">
      <c r="B16" t="s">
        <v>1379</v>
      </c>
      <c r="C16" t="s">
        <v>487</v>
      </c>
      <c r="D16" t="s">
        <v>1385</v>
      </c>
    </row>
    <row r="20" spans="2:3" x14ac:dyDescent="0.35">
      <c r="B20" s="29" t="s">
        <v>7</v>
      </c>
      <c r="C20" s="29" t="s">
        <v>914</v>
      </c>
    </row>
    <row r="21" spans="2:3" x14ac:dyDescent="0.35">
      <c r="B21" s="29" t="s">
        <v>25</v>
      </c>
      <c r="C21" s="29" t="s">
        <v>926</v>
      </c>
    </row>
    <row r="22" spans="2:3" x14ac:dyDescent="0.35">
      <c r="B22" s="29" t="s">
        <v>35</v>
      </c>
      <c r="C22" s="29" t="s">
        <v>923</v>
      </c>
    </row>
    <row r="23" spans="2:3" x14ac:dyDescent="0.35">
      <c r="B23" s="29" t="s">
        <v>42</v>
      </c>
      <c r="C23" s="29" t="s">
        <v>487</v>
      </c>
    </row>
    <row r="24" spans="2:3" x14ac:dyDescent="0.35">
      <c r="B24" s="29" t="s">
        <v>1377</v>
      </c>
      <c r="C24" s="29" t="s">
        <v>917</v>
      </c>
    </row>
    <row r="25" spans="2:3" x14ac:dyDescent="0.35">
      <c r="B25" s="29" t="s">
        <v>973</v>
      </c>
      <c r="C25" s="29" t="s">
        <v>914</v>
      </c>
    </row>
    <row r="26" spans="2:3" x14ac:dyDescent="0.35">
      <c r="B26" s="29" t="s">
        <v>979</v>
      </c>
      <c r="C26" s="29" t="s">
        <v>926</v>
      </c>
    </row>
    <row r="27" spans="2:3" x14ac:dyDescent="0.35">
      <c r="B27" s="29" t="s">
        <v>977</v>
      </c>
      <c r="C27" s="29" t="s">
        <v>923</v>
      </c>
    </row>
    <row r="28" spans="2:3" x14ac:dyDescent="0.35">
      <c r="B28" s="29" t="s">
        <v>1378</v>
      </c>
      <c r="C28" s="29" t="s">
        <v>487</v>
      </c>
    </row>
    <row r="29" spans="2:3" x14ac:dyDescent="0.35">
      <c r="B29" s="29" t="s">
        <v>975</v>
      </c>
      <c r="C29" s="29" t="s">
        <v>917</v>
      </c>
    </row>
    <row r="30" spans="2:3" x14ac:dyDescent="0.35">
      <c r="B30" s="29" t="s">
        <v>1378</v>
      </c>
      <c r="C30" s="29" t="s">
        <v>487</v>
      </c>
    </row>
    <row r="31" spans="2:3" x14ac:dyDescent="0.35">
      <c r="B31" s="29" t="s">
        <v>1115</v>
      </c>
      <c r="C31" s="29" t="s">
        <v>1115</v>
      </c>
    </row>
    <row r="32" spans="2:3" x14ac:dyDescent="0.35">
      <c r="B32" s="29" t="s">
        <v>914</v>
      </c>
      <c r="C32" s="29" t="s">
        <v>914</v>
      </c>
    </row>
    <row r="33" spans="2:3" x14ac:dyDescent="0.35">
      <c r="B33" s="29" t="s">
        <v>926</v>
      </c>
      <c r="C33" s="29" t="s">
        <v>926</v>
      </c>
    </row>
    <row r="34" spans="2:3" x14ac:dyDescent="0.35">
      <c r="B34" s="29" t="s">
        <v>923</v>
      </c>
      <c r="C34" s="29" t="s">
        <v>923</v>
      </c>
    </row>
    <row r="35" spans="2:3" x14ac:dyDescent="0.35">
      <c r="B35" s="29" t="s">
        <v>487</v>
      </c>
      <c r="C35" s="29" t="s">
        <v>487</v>
      </c>
    </row>
    <row r="36" spans="2:3" x14ac:dyDescent="0.35">
      <c r="B36" s="29" t="s">
        <v>917</v>
      </c>
      <c r="C36" s="29" t="s">
        <v>917</v>
      </c>
    </row>
    <row r="37" spans="2:3" x14ac:dyDescent="0.35">
      <c r="B37" s="29" t="s">
        <v>914</v>
      </c>
      <c r="C37" s="29" t="s">
        <v>914</v>
      </c>
    </row>
    <row r="38" spans="2:3" x14ac:dyDescent="0.35">
      <c r="B38" s="29" t="s">
        <v>926</v>
      </c>
      <c r="C38" s="29" t="s">
        <v>926</v>
      </c>
    </row>
    <row r="39" spans="2:3" x14ac:dyDescent="0.35">
      <c r="B39" s="29" t="s">
        <v>923</v>
      </c>
      <c r="C39" s="29" t="s">
        <v>923</v>
      </c>
    </row>
    <row r="40" spans="2:3" x14ac:dyDescent="0.35">
      <c r="B40" s="29" t="s">
        <v>487</v>
      </c>
      <c r="C40" s="29" t="s">
        <v>487</v>
      </c>
    </row>
    <row r="41" spans="2:3" x14ac:dyDescent="0.35">
      <c r="B41" s="29" t="s">
        <v>917</v>
      </c>
      <c r="C41" s="29" t="s">
        <v>917</v>
      </c>
    </row>
    <row r="42" spans="2:3" x14ac:dyDescent="0.35">
      <c r="B42" s="29" t="s">
        <v>487</v>
      </c>
      <c r="C42" s="29" t="s">
        <v>487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</vt:i4>
      </vt:variant>
    </vt:vector>
  </HeadingPairs>
  <TitlesOfParts>
    <vt:vector size="14" baseType="lpstr">
      <vt:lpstr>BD-TABsAintégrer</vt:lpstr>
      <vt:lpstr>BD-DWH</vt:lpstr>
      <vt:lpstr>BD-DWH (2)</vt:lpstr>
      <vt:lpstr>BD-DWH (3)</vt:lpstr>
      <vt:lpstr>Stats_J</vt:lpstr>
      <vt:lpstr>EclaterColonne</vt:lpstr>
      <vt:lpstr>Tab1_Joueurs</vt:lpstr>
      <vt:lpstr>Tab2_Goalkeeper</vt:lpstr>
      <vt:lpstr>Tab3_TOP10_JoueursFoot</vt:lpstr>
      <vt:lpstr>Tab4_BlessuresJoueurs</vt:lpstr>
      <vt:lpstr>Tab5_JoueusesFoot</vt:lpstr>
      <vt:lpstr>PaysCountry</vt:lpstr>
      <vt:lpstr>PostePosition</vt:lpstr>
      <vt:lpstr>PostePosition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BOUFARES Adam</dc:creator>
  <cp:lastModifiedBy>Faouzi BOUFARES</cp:lastModifiedBy>
  <dcterms:created xsi:type="dcterms:W3CDTF">2025-01-22T12:43:19Z</dcterms:created>
  <dcterms:modified xsi:type="dcterms:W3CDTF">2026-10-21T14:17:51Z</dcterms:modified>
</cp:coreProperties>
</file>